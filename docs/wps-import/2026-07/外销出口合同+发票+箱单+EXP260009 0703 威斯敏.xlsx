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60" windowHeight="12480" activeTab="2"/>
  </bookViews>
  <sheets>
    <sheet name="    合 同    " sheetId="1" r:id="rId1"/>
    <sheet name="发   票" sheetId="2" r:id="rId2"/>
    <sheet name="箱   单 " sheetId="3" r:id="rId3"/>
    <sheet name="装箱清单" sheetId="6" r:id="rId4"/>
    <sheet name="装货" sheetId="4" state="hidden" r:id="rId5"/>
    <sheet name="发票汇总" sheetId="5" state="hidden" r:id="rId6"/>
  </sheets>
  <externalReferences>
    <externalReference r:id="rId8"/>
    <externalReference r:id="rId9"/>
  </externalReferences>
  <definedNames>
    <definedName name="_xlnm._FilterDatabase" localSheetId="4" hidden="1">装货!$A$1:$T$18</definedName>
    <definedName name="_xlnm._FilterDatabase" localSheetId="3" hidden="1">装箱清单!$A$1:$P$3</definedName>
    <definedName name="_xlnm.Print_Area" localSheetId="0">'    合 同    '!$A$1:$F$35</definedName>
    <definedName name="_xlnm.Print_Area" localSheetId="1">'发   票'!$A$1:$F$35</definedName>
    <definedName name="_xlnm.Print_Area" localSheetId="2">'箱   单 '!$A$1:$H$18</definedName>
    <definedName name="WebWps_Link_1" hidden="1">装货!$B$1:$Q$155</definedName>
  </definedNames>
  <calcPr calcId="144525"/>
</workbook>
</file>

<file path=xl/sharedStrings.xml><?xml version="1.0" encoding="utf-8"?>
<sst xmlns="http://schemas.openxmlformats.org/spreadsheetml/2006/main" count="216">
  <si>
    <t>JIESONG INTERNATIONAL LOGISTICS CO., LTD
上海捷淞国际物流有限公司</t>
  </si>
  <si>
    <t>销售合同
SALES CONFIRMATION</t>
  </si>
  <si>
    <t>威斯敏</t>
  </si>
  <si>
    <t>NO.: EXP260008</t>
  </si>
  <si>
    <t>Date: Jun.15, 2026</t>
  </si>
  <si>
    <t>Seller:</t>
  </si>
  <si>
    <t>上海捷淞国际物流有限公司
JIESONG INTERNATIONAL LOGISTICS CO., LTD
C / F, 888 Huanhu West second Road, Lingang New District, China (Shanghai) Free Trade Experimental Zone / 201306</t>
  </si>
  <si>
    <t>Buyers:</t>
  </si>
  <si>
    <t>Sp food trading LLC</t>
  </si>
  <si>
    <t>兹买卖双方同意就以下条款达成协议：
This Contract is made by and between the Buyers and the Sellers, whereby the Buyers agree to buy and the Sellers agree to sell the under mentioned commodity according to the terms and conditions stipulated below:</t>
  </si>
  <si>
    <t>Item</t>
  </si>
  <si>
    <t>货物名称及规格
Name of Commodity and Specifications</t>
  </si>
  <si>
    <t>包装     Package</t>
  </si>
  <si>
    <t>数量(单位） Quantity</t>
  </si>
  <si>
    <t xml:space="preserve">单价(USD） 
（EXW SHANGHAI）       Unit Price Per Box      </t>
  </si>
  <si>
    <t>总价 （EXW SHANGHAI）                                          Total Amount(USD)</t>
  </si>
  <si>
    <t>铁艺屏风</t>
  </si>
  <si>
    <t>2450*340*1540</t>
  </si>
  <si>
    <t>自助餐台</t>
  </si>
  <si>
    <t>3148*1611*1150</t>
  </si>
  <si>
    <t>1.2米常温调酒台</t>
  </si>
  <si>
    <t>1300*700*1000</t>
  </si>
  <si>
    <t>金属蜂窝板</t>
  </si>
  <si>
    <t>2050*1250*430</t>
  </si>
  <si>
    <t>酒架</t>
  </si>
  <si>
    <t>1980*370*1020</t>
  </si>
  <si>
    <t>隔断</t>
  </si>
  <si>
    <t>2900*360*1195</t>
  </si>
  <si>
    <t>瓷砖</t>
  </si>
  <si>
    <t>800*800*40</t>
  </si>
  <si>
    <t>总计 TOTOL</t>
  </si>
  <si>
    <t>（1）交货期：120days after the receiving of payment.</t>
  </si>
  <si>
    <t>（2）起运港：FROM SHENZHEN, CHINA TO USA</t>
  </si>
  <si>
    <t>（3）Trade term: SHENZHEN warehouse.</t>
  </si>
  <si>
    <t>（4）Terms of payment：T/T. 100% contract value paid in advance.</t>
  </si>
  <si>
    <t xml:space="preserve">（5）Packing: To be packed in standard ocean shipping packing. </t>
  </si>
  <si>
    <t>BANK ACCOUNT INFO:</t>
  </si>
  <si>
    <r>
      <rPr>
        <u/>
        <sz val="16"/>
        <color rgb="FF000000"/>
        <rFont val="等线"/>
        <charset val="134"/>
      </rPr>
      <t>Beneficiary Name:</t>
    </r>
    <r>
      <rPr>
        <sz val="16"/>
        <color rgb="FF000000"/>
        <rFont val="等线"/>
        <charset val="134"/>
      </rPr>
      <t xml:space="preserve"> Jiesong International Logistics Co., Ltd.</t>
    </r>
  </si>
  <si>
    <r>
      <rPr>
        <u/>
        <sz val="16"/>
        <color rgb="FF000000"/>
        <rFont val="等线"/>
        <charset val="134"/>
      </rPr>
      <t xml:space="preserve">Beneficiary Account No: </t>
    </r>
    <r>
      <rPr>
        <sz val="16"/>
        <color rgb="FF000000"/>
        <rFont val="等线"/>
        <charset val="134"/>
      </rPr>
      <t>CHINA MERCHANTS BANK 121952808032001</t>
    </r>
  </si>
  <si>
    <r>
      <rPr>
        <u/>
        <sz val="16"/>
        <color rgb="FF000000"/>
        <rFont val="等线"/>
        <charset val="134"/>
      </rPr>
      <t xml:space="preserve">Bank Address: </t>
    </r>
    <r>
      <rPr>
        <sz val="16"/>
        <color rgb="FF000000"/>
        <rFont val="等线"/>
        <charset val="134"/>
      </rPr>
      <t>NO.1800 JIANGYUE ROAD,SHANGHAI ,CHINA</t>
    </r>
  </si>
  <si>
    <r>
      <rPr>
        <u/>
        <sz val="16"/>
        <color rgb="FF000000"/>
        <rFont val="等线"/>
        <charset val="134"/>
      </rPr>
      <t xml:space="preserve">SWIFT code: </t>
    </r>
    <r>
      <rPr>
        <sz val="16"/>
        <color rgb="FF000000"/>
        <rFont val="等线"/>
        <charset val="134"/>
      </rPr>
      <t>CMBCCNBS</t>
    </r>
  </si>
  <si>
    <r>
      <rPr>
        <u/>
        <sz val="16"/>
        <color rgb="FF000000"/>
        <rFont val="等线"/>
        <charset val="134"/>
      </rPr>
      <t xml:space="preserve">CNAPS code: </t>
    </r>
    <r>
      <rPr>
        <sz val="16"/>
        <color rgb="FF000000"/>
        <rFont val="等线"/>
        <charset val="134"/>
      </rPr>
      <t>308290003749</t>
    </r>
  </si>
  <si>
    <t>SELLER:</t>
  </si>
  <si>
    <t>BUYER:</t>
  </si>
  <si>
    <t>发票
COMMERCIAL INVOICE</t>
  </si>
  <si>
    <t>装箱单
PACKING LIST</t>
  </si>
  <si>
    <t>HSCODE</t>
  </si>
  <si>
    <t>尺寸</t>
  </si>
  <si>
    <t>数量（箱）</t>
  </si>
  <si>
    <t>毛重（kg）</t>
  </si>
  <si>
    <t>净重（kg）</t>
  </si>
  <si>
    <t>体积(立方米m³）</t>
  </si>
  <si>
    <t>数量</t>
  </si>
  <si>
    <t>单位</t>
  </si>
  <si>
    <t>申报明细</t>
  </si>
  <si>
    <t>货源地</t>
  </si>
  <si>
    <t>套</t>
  </si>
  <si>
    <t>台</t>
  </si>
  <si>
    <t>平方米</t>
  </si>
  <si>
    <t>报关名</t>
  </si>
  <si>
    <t>商品补充信息</t>
  </si>
  <si>
    <t>门店</t>
  </si>
  <si>
    <t>港口</t>
  </si>
  <si>
    <t>报关数量</t>
  </si>
  <si>
    <t>厂家</t>
  </si>
  <si>
    <t>规格</t>
  </si>
  <si>
    <t>箱数</t>
  </si>
  <si>
    <t>毛重</t>
  </si>
  <si>
    <t>净重</t>
  </si>
  <si>
    <t>体积</t>
  </si>
  <si>
    <t>洛杉矶</t>
  </si>
  <si>
    <t>福建泉州鼎联工艺品有限公司</t>
  </si>
  <si>
    <t>广州布菲厨具制造有限公司</t>
  </si>
  <si>
    <t>1左2右</t>
  </si>
  <si>
    <t>广州市拓盛餐饮设备有限公司</t>
  </si>
  <si>
    <t>广州高邦装饰材料有限公司</t>
  </si>
  <si>
    <t>包厢隔断门</t>
  </si>
  <si>
    <t>370箱800砖，还有50箱长砖</t>
  </si>
  <si>
    <t>序号</t>
  </si>
  <si>
    <t>柜子编号</t>
  </si>
  <si>
    <t>出货日期</t>
  </si>
  <si>
    <t>合同号</t>
  </si>
  <si>
    <t>报关公司</t>
  </si>
  <si>
    <t>是否付款</t>
  </si>
  <si>
    <t>备注</t>
  </si>
  <si>
    <t>卡座</t>
  </si>
  <si>
    <t>刘总卡座</t>
  </si>
  <si>
    <t>圣荷西2115</t>
  </si>
  <si>
    <t>Oakland</t>
  </si>
  <si>
    <t>件</t>
  </si>
  <si>
    <t>卡座刘总</t>
  </si>
  <si>
    <t>1828*534*1140</t>
  </si>
  <si>
    <t>25-圣荷西混合</t>
  </si>
  <si>
    <t>EXP250027</t>
  </si>
  <si>
    <t>其他厂家报关</t>
  </si>
  <si>
    <t>刘总装</t>
  </si>
  <si>
    <t>不锈钢桶</t>
  </si>
  <si>
    <t>个</t>
  </si>
  <si>
    <t>630*560*1220</t>
  </si>
  <si>
    <t>捷淞</t>
  </si>
  <si>
    <t>是</t>
  </si>
  <si>
    <t>已经在黎总那</t>
  </si>
  <si>
    <t>椅子</t>
  </si>
  <si>
    <t>高脚椅</t>
  </si>
  <si>
    <t>把</t>
  </si>
  <si>
    <t>廊坊秀儿商贸</t>
  </si>
  <si>
    <t>480*480*950</t>
  </si>
  <si>
    <t>窗帘</t>
  </si>
  <si>
    <t>补充窗帘</t>
  </si>
  <si>
    <t>米尔皮塔、圣荷西625、禧瑞都</t>
  </si>
  <si>
    <t>混合港口</t>
  </si>
  <si>
    <t>新厂家窗帘</t>
  </si>
  <si>
    <t>1930*210*210</t>
  </si>
  <si>
    <t>12/16送达</t>
  </si>
  <si>
    <t>790*680*560</t>
  </si>
  <si>
    <t>等待派送</t>
  </si>
  <si>
    <t>这个最后塞，能装多少装多少</t>
  </si>
  <si>
    <t>LED显示屏</t>
  </si>
  <si>
    <t>圣荷西625</t>
  </si>
  <si>
    <t>深圳杨总</t>
  </si>
  <si>
    <t>1330*1050*1290</t>
  </si>
  <si>
    <t>长方盘</t>
  </si>
  <si>
    <t>各种烤盘，剪刀，夹子</t>
  </si>
  <si>
    <t>台德</t>
  </si>
  <si>
    <t>570*345*350</t>
  </si>
  <si>
    <t>12/17送达</t>
  </si>
  <si>
    <t>餐盘</t>
  </si>
  <si>
    <t>异形大盘</t>
  </si>
  <si>
    <t>王总</t>
  </si>
  <si>
    <t>600*370*470</t>
  </si>
  <si>
    <t>不锈钢护栏</t>
  </si>
  <si>
    <t>补充直杠</t>
  </si>
  <si>
    <t>禧瑞都</t>
  </si>
  <si>
    <t>米</t>
  </si>
  <si>
    <t>佛山</t>
  </si>
  <si>
    <t>1220*240*300</t>
  </si>
  <si>
    <t>餐边柜</t>
  </si>
  <si>
    <t>上海定制</t>
  </si>
  <si>
    <t>635*1780*1340</t>
  </si>
  <si>
    <t>货满满运输（徐总发）</t>
  </si>
  <si>
    <t>米尔皮塔</t>
  </si>
  <si>
    <t>寒江雪</t>
  </si>
  <si>
    <t>Burbank</t>
  </si>
  <si>
    <t>黎总</t>
  </si>
  <si>
    <t>600*1200*20</t>
  </si>
  <si>
    <t>大理石材</t>
  </si>
  <si>
    <t>收银台，洗手盘，酒吧吧台</t>
  </si>
  <si>
    <t>振宗</t>
  </si>
  <si>
    <t>2270*530*950</t>
  </si>
  <si>
    <t>振宗12/17派送</t>
  </si>
  <si>
    <t>亚克力板</t>
  </si>
  <si>
    <t>张</t>
  </si>
  <si>
    <t>亚克力</t>
  </si>
  <si>
    <t>2500*1300*490</t>
  </si>
  <si>
    <t>12/17厂家派送</t>
  </si>
  <si>
    <t>小型饭团机</t>
  </si>
  <si>
    <t>饭团机+铺饭机</t>
  </si>
  <si>
    <t>宜拓</t>
  </si>
  <si>
    <t>690*450*695</t>
  </si>
  <si>
    <t>人造石英石制品</t>
  </si>
  <si>
    <t>搭配收银台</t>
  </si>
  <si>
    <t>新兴石材</t>
  </si>
  <si>
    <t>3200*1600*20</t>
  </si>
  <si>
    <t>27-圣荷西2115</t>
  </si>
  <si>
    <t>不用管，属于加工附属</t>
  </si>
  <si>
    <t>档边玻璃</t>
  </si>
  <si>
    <t>预计12/17送达，涂经理配送</t>
  </si>
  <si>
    <t>产品</t>
  </si>
  <si>
    <t>单价（不含税）</t>
  </si>
  <si>
    <t>金额</t>
  </si>
  <si>
    <t>税率</t>
  </si>
  <si>
    <t>税额</t>
  </si>
  <si>
    <t>总金额</t>
  </si>
  <si>
    <t>报关单号</t>
  </si>
  <si>
    <t>发票号码</t>
  </si>
  <si>
    <t>开票日期</t>
  </si>
  <si>
    <t>纳税人识别号</t>
  </si>
  <si>
    <t>530420240040849246</t>
  </si>
  <si>
    <t>传送带</t>
  </si>
  <si>
    <t>千克</t>
  </si>
  <si>
    <t>24442000000246727571</t>
  </si>
  <si>
    <t>2024-06-11</t>
  </si>
  <si>
    <t>91440101094203844N</t>
  </si>
  <si>
    <t>EXP2400001</t>
  </si>
  <si>
    <t>24442000000246736253</t>
  </si>
  <si>
    <t>24442000000246741626</t>
  </si>
  <si>
    <t>24442000000246744723</t>
  </si>
  <si>
    <t>24442000000246748840</t>
  </si>
  <si>
    <t>钢化玻璃</t>
  </si>
  <si>
    <t>24442000000246782528</t>
  </si>
  <si>
    <t>24442000000246800796</t>
  </si>
  <si>
    <t>24442000000246805415</t>
  </si>
  <si>
    <t>24442000000246892317</t>
  </si>
  <si>
    <t>支撑柱</t>
  </si>
  <si>
    <t>24442000000246817461</t>
  </si>
  <si>
    <t>小计：</t>
  </si>
  <si>
    <t>电磁炉</t>
  </si>
  <si>
    <t>24442000000240646590</t>
  </si>
  <si>
    <t>2024-06-06</t>
  </si>
  <si>
    <t>91440606673146805K</t>
  </si>
  <si>
    <t>24442000000240655051</t>
  </si>
  <si>
    <t>24442000000240663498</t>
  </si>
  <si>
    <t>电烤炉</t>
  </si>
  <si>
    <t>24442000000240670535</t>
  </si>
  <si>
    <t>烤盘</t>
  </si>
  <si>
    <t>24442000000240680254</t>
  </si>
  <si>
    <t>接油盘</t>
  </si>
  <si>
    <t>24442000000240686615</t>
  </si>
  <si>
    <t>不锈钢圈</t>
  </si>
  <si>
    <t>24442000000240691472</t>
  </si>
  <si>
    <t>非金属矿物制品*瓷砖</t>
  </si>
  <si>
    <t>24442000000253224954</t>
  </si>
  <si>
    <t>2024-06-14</t>
  </si>
  <si>
    <t>91440604081080339C</t>
  </si>
  <si>
    <t>24442000000253231056</t>
  </si>
  <si>
    <t>总计：</t>
  </si>
</sst>
</file>

<file path=xl/styles.xml><?xml version="1.0" encoding="utf-8"?>
<styleSheet xmlns="http://schemas.openxmlformats.org/spreadsheetml/2006/main" xmlns:xr9="http://schemas.microsoft.com/office/spreadsheetml/2016/revision9">
  <numFmts count="15">
    <numFmt numFmtId="176" formatCode="_ * #,##0.0_ ;_ * \-#,##0.0_ ;_ * &quot;-&quot;??.0_ ;_ @_ "/>
    <numFmt numFmtId="177" formatCode="0.0%"/>
    <numFmt numFmtId="178" formatCode="_ * #,##0.000_ ;_ * \-#,##0.000_ ;_ * &quot;-&quot;??.0_ ;_ @_ "/>
    <numFmt numFmtId="179" formatCode="\$#,##0.0_);[Red]\(\$#,##0.0\)"/>
    <numFmt numFmtId="180" formatCode="yyyy/m/d;@"/>
    <numFmt numFmtId="181" formatCode="_ * #,##0_ ;_ * \-#,##0_ ;_ * &quot;-&quot;??_ ;_ @_ "/>
    <numFmt numFmtId="42" formatCode="_ &quot;￥&quot;* #,##0_ ;_ &quot;￥&quot;* \-#,##0_ ;_ &quot;￥&quot;* &quot;-&quot;_ ;_ @_ "/>
    <numFmt numFmtId="182" formatCode="&quot;￥&quot;#,##0.00_);[Red]\(&quot;￥&quot;#,##0.00\)"/>
    <numFmt numFmtId="44" formatCode="_ &quot;￥&quot;* #,##0.00_ ;_ &quot;￥&quot;* \-#,##0.00_ ;_ &quot;￥&quot;* &quot;-&quot;??_ ;_ @_ "/>
    <numFmt numFmtId="183" formatCode="_ * #,##0.00_ ;_ * \-#,##0.00_ ;_ * &quot;-&quot;??.00_ ;_ @_ "/>
    <numFmt numFmtId="43" formatCode="_ * #,##0.00_ ;_ * \-#,##0.00_ ;_ * &quot;-&quot;??_ ;_ @_ "/>
    <numFmt numFmtId="184" formatCode="_ * #,##0.0_ ;_ * \-#,##0.0_ ;_ * &quot;-&quot;??_ ;_ @_ "/>
    <numFmt numFmtId="185" formatCode="&quot;￥&quot;#,##0.000_);[Red]\(&quot;￥&quot;#,##0.000\)"/>
    <numFmt numFmtId="41" formatCode="_ * #,##0_ ;_ * \-#,##0_ ;_ * &quot;-&quot;_ ;_ @_ "/>
    <numFmt numFmtId="186" formatCode="&quot;￥&quot;#,##0.0_);[Red]\(&quot;￥&quot;#,##0.0\)"/>
  </numFmts>
  <fonts count="49">
    <font>
      <sz val="11"/>
      <name val="等线"/>
      <charset val="134"/>
    </font>
    <font>
      <sz val="11"/>
      <color rgb="FF000000"/>
      <name val="等线"/>
      <charset val="134"/>
    </font>
    <font>
      <sz val="12"/>
      <name val="等线"/>
      <charset val="134"/>
    </font>
    <font>
      <sz val="12"/>
      <color rgb="FF000000"/>
      <name val="宋体"/>
      <charset val="134"/>
    </font>
    <font>
      <sz val="12"/>
      <name val="宋体"/>
      <charset val="134"/>
    </font>
    <font>
      <sz val="11"/>
      <color indexed="8"/>
      <name val="等线"/>
      <charset val="134"/>
    </font>
    <font>
      <sz val="12"/>
      <color rgb="FF000000"/>
      <name val="Courier New"/>
      <charset val="134"/>
    </font>
    <font>
      <sz val="11"/>
      <name val="宋体"/>
      <charset val="134"/>
    </font>
    <font>
      <sz val="11"/>
      <color rgb="FF000000"/>
      <name val="宋体"/>
      <charset val="134"/>
    </font>
    <font>
      <b/>
      <sz val="12"/>
      <color rgb="FF000000"/>
      <name val="宋体"/>
      <charset val="134"/>
    </font>
    <font>
      <sz val="10"/>
      <color rgb="FF000000"/>
      <name val="宋体"/>
      <charset val="134"/>
    </font>
    <font>
      <b/>
      <sz val="10.5"/>
      <color rgb="FF000000"/>
      <name val="宋体"/>
      <charset val="134"/>
    </font>
    <font>
      <sz val="14"/>
      <name val="等线"/>
      <charset val="134"/>
    </font>
    <font>
      <sz val="14"/>
      <color rgb="FF000000"/>
      <name val="等线"/>
      <charset val="134"/>
    </font>
    <font>
      <b/>
      <sz val="24"/>
      <name val="等线"/>
      <charset val="134"/>
    </font>
    <font>
      <b/>
      <u/>
      <sz val="18"/>
      <name val="等线"/>
      <charset val="134"/>
    </font>
    <font>
      <b/>
      <u val="double"/>
      <sz val="24"/>
      <name val="等线"/>
      <charset val="134"/>
    </font>
    <font>
      <b/>
      <sz val="16"/>
      <name val="等线"/>
      <charset val="134"/>
    </font>
    <font>
      <sz val="16"/>
      <name val="等线"/>
      <charset val="134"/>
    </font>
    <font>
      <sz val="16"/>
      <color rgb="FF000000"/>
      <name val="宋体"/>
      <charset val="134"/>
    </font>
    <font>
      <sz val="18"/>
      <name val="等线"/>
      <charset val="134"/>
    </font>
    <font>
      <sz val="8"/>
      <name val="等线"/>
      <charset val="134"/>
    </font>
    <font>
      <b/>
      <sz val="18"/>
      <name val="等线"/>
      <charset val="134"/>
    </font>
    <font>
      <sz val="14"/>
      <color rgb="FFFF0000"/>
      <name val="等线"/>
      <charset val="134"/>
    </font>
    <font>
      <sz val="16"/>
      <color rgb="FF000000"/>
      <name val="等线"/>
      <charset val="134"/>
    </font>
    <font>
      <u/>
      <sz val="16"/>
      <color rgb="FF000000"/>
      <name val="等线"/>
      <charset val="134"/>
    </font>
    <font>
      <b/>
      <sz val="14"/>
      <color rgb="FF000000"/>
      <name val="宋体"/>
      <charset val="134"/>
    </font>
    <font>
      <u/>
      <sz val="14"/>
      <color rgb="FF000000"/>
      <name val="等线"/>
      <charset val="134"/>
    </font>
    <font>
      <sz val="14"/>
      <name val="等线"/>
      <charset val="134"/>
      <scheme val="minor"/>
    </font>
    <font>
      <sz val="11"/>
      <color theme="1"/>
      <name val="等线"/>
      <charset val="0"/>
      <scheme val="minor"/>
    </font>
    <font>
      <sz val="11"/>
      <color theme="0"/>
      <name val="等线"/>
      <charset val="0"/>
      <scheme val="minor"/>
    </font>
    <font>
      <b/>
      <sz val="11"/>
      <color theme="3"/>
      <name val="等线"/>
      <charset val="134"/>
      <scheme val="minor"/>
    </font>
    <font>
      <sz val="11"/>
      <color theme="1"/>
      <name val="等线"/>
      <charset val="134"/>
      <scheme val="minor"/>
    </font>
    <font>
      <i/>
      <sz val="11"/>
      <color rgb="FF7F7F7F"/>
      <name val="等线"/>
      <charset val="0"/>
      <scheme val="minor"/>
    </font>
    <font>
      <b/>
      <sz val="13"/>
      <color theme="3"/>
      <name val="等线"/>
      <charset val="134"/>
      <scheme val="minor"/>
    </font>
    <font>
      <b/>
      <sz val="15"/>
      <color theme="3"/>
      <name val="等线"/>
      <charset val="134"/>
      <scheme val="minor"/>
    </font>
    <font>
      <b/>
      <sz val="11"/>
      <color rgb="FF3F3F3F"/>
      <name val="等线"/>
      <charset val="0"/>
      <scheme val="minor"/>
    </font>
    <font>
      <b/>
      <sz val="11"/>
      <color rgb="FFFFFFFF"/>
      <name val="等线"/>
      <charset val="0"/>
      <scheme val="minor"/>
    </font>
    <font>
      <u/>
      <sz val="11"/>
      <color rgb="FF800080"/>
      <name val="等线"/>
      <charset val="0"/>
      <scheme val="minor"/>
    </font>
    <font>
      <sz val="11"/>
      <color rgb="FF006100"/>
      <name val="等线"/>
      <charset val="0"/>
      <scheme val="minor"/>
    </font>
    <font>
      <sz val="11"/>
      <color rgb="FF9C6500"/>
      <name val="等线"/>
      <charset val="0"/>
      <scheme val="minor"/>
    </font>
    <font>
      <sz val="11"/>
      <color rgb="FFFF0000"/>
      <name val="等线"/>
      <charset val="0"/>
      <scheme val="minor"/>
    </font>
    <font>
      <b/>
      <sz val="11"/>
      <color theme="1"/>
      <name val="等线"/>
      <charset val="0"/>
      <scheme val="minor"/>
    </font>
    <font>
      <b/>
      <sz val="11"/>
      <color rgb="FFFA7D00"/>
      <name val="等线"/>
      <charset val="0"/>
      <scheme val="minor"/>
    </font>
    <font>
      <u/>
      <sz val="11"/>
      <color rgb="FF0000FF"/>
      <name val="等线"/>
      <charset val="0"/>
      <scheme val="minor"/>
    </font>
    <font>
      <sz val="11"/>
      <color rgb="FFFA7D00"/>
      <name val="等线"/>
      <charset val="0"/>
      <scheme val="minor"/>
    </font>
    <font>
      <sz val="11"/>
      <color rgb="FF3F3F76"/>
      <name val="等线"/>
      <charset val="0"/>
      <scheme val="minor"/>
    </font>
    <font>
      <b/>
      <sz val="18"/>
      <color theme="3"/>
      <name val="等线"/>
      <charset val="134"/>
      <scheme val="minor"/>
    </font>
    <font>
      <sz val="11"/>
      <color rgb="FF9C0006"/>
      <name val="等线"/>
      <charset val="0"/>
      <scheme val="minor"/>
    </font>
  </fonts>
  <fills count="37">
    <fill>
      <patternFill patternType="none"/>
    </fill>
    <fill>
      <patternFill patternType="gray125"/>
    </fill>
    <fill>
      <patternFill patternType="solid">
        <fgColor rgb="FFFFFFFF"/>
        <bgColor indexed="64"/>
      </patternFill>
    </fill>
    <fill>
      <patternFill patternType="solid">
        <fgColor rgb="FFD9E1F2"/>
        <bgColor indexed="64"/>
      </patternFill>
    </fill>
    <fill>
      <patternFill patternType="solid">
        <fgColor rgb="FFFFFF00"/>
        <bgColor indexed="64"/>
      </patternFill>
    </fill>
    <fill>
      <patternFill patternType="solid">
        <fgColor rgb="FFFFF2CC"/>
        <bgColor indexed="64"/>
      </patternFill>
    </fill>
    <fill>
      <patternFill patternType="solid">
        <fgColor theme="4" tint="0.599993896298105"/>
        <bgColor indexed="64"/>
      </patternFill>
    </fill>
    <fill>
      <patternFill patternType="solid">
        <fgColor theme="9"/>
        <bgColor indexed="64"/>
      </patternFill>
    </fill>
    <fill>
      <patternFill patternType="solid">
        <fgColor theme="9" tint="0.399975585192419"/>
        <bgColor indexed="64"/>
      </patternFill>
    </fill>
    <fill>
      <patternFill patternType="solid">
        <fgColor rgb="FFFFFFCC"/>
        <bgColor indexed="64"/>
      </patternFill>
    </fill>
    <fill>
      <patternFill patternType="solid">
        <fgColor theme="5" tint="0.599993896298105"/>
        <bgColor indexed="64"/>
      </patternFill>
    </fill>
    <fill>
      <patternFill patternType="solid">
        <fgColor theme="8" tint="0.399975585192419"/>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rgb="FFF2F2F2"/>
        <bgColor indexed="64"/>
      </patternFill>
    </fill>
    <fill>
      <patternFill patternType="solid">
        <fgColor theme="7" tint="0.599993896298105"/>
        <bgColor indexed="64"/>
      </patternFill>
    </fill>
    <fill>
      <patternFill patternType="solid">
        <fgColor rgb="FFA5A5A5"/>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theme="8"/>
        <bgColor indexed="64"/>
      </patternFill>
    </fill>
    <fill>
      <patternFill patternType="solid">
        <fgColor theme="5" tint="0.399975585192419"/>
        <bgColor indexed="64"/>
      </patternFill>
    </fill>
    <fill>
      <patternFill patternType="solid">
        <fgColor rgb="FFC6EFCE"/>
        <bgColor indexed="64"/>
      </patternFill>
    </fill>
    <fill>
      <patternFill patternType="solid">
        <fgColor theme="4"/>
        <bgColor indexed="64"/>
      </patternFill>
    </fill>
    <fill>
      <patternFill patternType="solid">
        <fgColor rgb="FFFFEB9C"/>
        <bgColor indexed="64"/>
      </patternFill>
    </fill>
    <fill>
      <patternFill patternType="solid">
        <fgColor theme="9" tint="0.599993896298105"/>
        <bgColor indexed="64"/>
      </patternFill>
    </fill>
    <fill>
      <patternFill patternType="solid">
        <fgColor theme="7" tint="0.399975585192419"/>
        <bgColor indexed="64"/>
      </patternFill>
    </fill>
    <fill>
      <patternFill patternType="solid">
        <fgColor theme="5"/>
        <bgColor indexed="64"/>
      </patternFill>
    </fill>
    <fill>
      <patternFill patternType="solid">
        <fgColor theme="6"/>
        <bgColor indexed="64"/>
      </patternFill>
    </fill>
    <fill>
      <patternFill patternType="solid">
        <fgColor theme="6" tint="0.399975585192419"/>
        <bgColor indexed="64"/>
      </patternFill>
    </fill>
    <fill>
      <patternFill patternType="solid">
        <fgColor theme="6" tint="0.599993896298105"/>
        <bgColor indexed="64"/>
      </patternFill>
    </fill>
    <fill>
      <patternFill patternType="solid">
        <fgColor rgb="FFFFCC99"/>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rgb="FFFFC7CE"/>
        <bgColor indexed="64"/>
      </patternFill>
    </fill>
    <fill>
      <patternFill patternType="solid">
        <fgColor theme="7"/>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diagonal/>
    </border>
    <border>
      <left/>
      <right style="thin">
        <color auto="1"/>
      </right>
      <top/>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pplyBorder="0">
      <alignment vertical="center"/>
    </xf>
    <xf numFmtId="0" fontId="30" fillId="8" borderId="0" applyNumberFormat="0" applyBorder="0" applyAlignment="0" applyProtection="0">
      <alignment vertical="center"/>
    </xf>
    <xf numFmtId="0" fontId="29" fillId="13" borderId="0" applyNumberFormat="0" applyBorder="0" applyAlignment="0" applyProtection="0">
      <alignment vertical="center"/>
    </xf>
    <xf numFmtId="0" fontId="30" fillId="36" borderId="0" applyNumberFormat="0" applyBorder="0" applyAlignment="0" applyProtection="0">
      <alignment vertical="center"/>
    </xf>
    <xf numFmtId="0" fontId="46" fillId="30" borderId="18" applyNumberFormat="0" applyAlignment="0" applyProtection="0">
      <alignment vertical="center"/>
    </xf>
    <xf numFmtId="0" fontId="29" fillId="29" borderId="0" applyNumberFormat="0" applyBorder="0" applyAlignment="0" applyProtection="0">
      <alignment vertical="center"/>
    </xf>
    <xf numFmtId="0" fontId="29" fillId="31" borderId="0" applyNumberFormat="0" applyBorder="0" applyAlignment="0" applyProtection="0">
      <alignment vertical="center"/>
    </xf>
    <xf numFmtId="44" fontId="32" fillId="0" borderId="0" applyFont="0" applyFill="0" applyBorder="0" applyAlignment="0" applyProtection="0">
      <alignment vertical="center"/>
    </xf>
    <xf numFmtId="0" fontId="30" fillId="27" borderId="0" applyNumberFormat="0" applyBorder="0" applyAlignment="0" applyProtection="0">
      <alignment vertical="center"/>
    </xf>
    <xf numFmtId="9" fontId="32" fillId="0" borderId="0" applyFont="0" applyFill="0" applyBorder="0" applyAlignment="0" applyProtection="0">
      <alignment vertical="center"/>
    </xf>
    <xf numFmtId="0" fontId="30" fillId="20" borderId="0" applyNumberFormat="0" applyBorder="0" applyAlignment="0" applyProtection="0">
      <alignment vertical="center"/>
    </xf>
    <xf numFmtId="0" fontId="30" fillId="11" borderId="0" applyNumberFormat="0" applyBorder="0" applyAlignment="0" applyProtection="0">
      <alignment vertical="center"/>
    </xf>
    <xf numFmtId="0" fontId="30" fillId="26" borderId="0" applyNumberFormat="0" applyBorder="0" applyAlignment="0" applyProtection="0">
      <alignment vertical="center"/>
    </xf>
    <xf numFmtId="0" fontId="30" fillId="34" borderId="0" applyNumberFormat="0" applyBorder="0" applyAlignment="0" applyProtection="0">
      <alignment vertical="center"/>
    </xf>
    <xf numFmtId="0" fontId="30" fillId="25" borderId="0" applyNumberFormat="0" applyBorder="0" applyAlignment="0" applyProtection="0">
      <alignment vertical="center"/>
    </xf>
    <xf numFmtId="0" fontId="43" fillId="14" borderId="18" applyNumberFormat="0" applyAlignment="0" applyProtection="0">
      <alignment vertical="center"/>
    </xf>
    <xf numFmtId="0" fontId="30" fillId="22" borderId="0" applyNumberFormat="0" applyBorder="0" applyAlignment="0" applyProtection="0">
      <alignment vertical="center"/>
    </xf>
    <xf numFmtId="0" fontId="40" fillId="23" borderId="0" applyNumberFormat="0" applyBorder="0" applyAlignment="0" applyProtection="0">
      <alignment vertical="center"/>
    </xf>
    <xf numFmtId="0" fontId="29" fillId="33" borderId="0" applyNumberFormat="0" applyBorder="0" applyAlignment="0" applyProtection="0">
      <alignment vertical="center"/>
    </xf>
    <xf numFmtId="0" fontId="39" fillId="21" borderId="0" applyNumberFormat="0" applyBorder="0" applyAlignment="0" applyProtection="0">
      <alignment vertical="center"/>
    </xf>
    <xf numFmtId="0" fontId="29" fillId="18" borderId="0" applyNumberFormat="0" applyBorder="0" applyAlignment="0" applyProtection="0">
      <alignment vertical="center"/>
    </xf>
    <xf numFmtId="0" fontId="42" fillId="0" borderId="17" applyNumberFormat="0" applyFill="0" applyAlignment="0" applyProtection="0">
      <alignment vertical="center"/>
    </xf>
    <xf numFmtId="0" fontId="48" fillId="35" borderId="0" applyNumberFormat="0" applyBorder="0" applyAlignment="0" applyProtection="0">
      <alignment vertical="center"/>
    </xf>
    <xf numFmtId="0" fontId="37" fillId="16" borderId="16" applyNumberFormat="0" applyAlignment="0" applyProtection="0">
      <alignment vertical="center"/>
    </xf>
    <xf numFmtId="0" fontId="36" fillId="14" borderId="15" applyNumberFormat="0" applyAlignment="0" applyProtection="0">
      <alignment vertical="center"/>
    </xf>
    <xf numFmtId="0" fontId="35" fillId="0" borderId="14" applyNumberFormat="0" applyFill="0" applyAlignment="0" applyProtection="0">
      <alignment vertical="center"/>
    </xf>
    <xf numFmtId="0" fontId="33" fillId="0" borderId="0" applyNumberFormat="0" applyFill="0" applyBorder="0" applyAlignment="0" applyProtection="0">
      <alignment vertical="center"/>
    </xf>
    <xf numFmtId="0" fontId="29" fillId="12" borderId="0" applyNumberFormat="0" applyBorder="0" applyAlignment="0" applyProtection="0">
      <alignment vertical="center"/>
    </xf>
    <xf numFmtId="0" fontId="31" fillId="0" borderId="0" applyNumberFormat="0" applyFill="0" applyBorder="0" applyAlignment="0" applyProtection="0">
      <alignment vertical="center"/>
    </xf>
    <xf numFmtId="42" fontId="32" fillId="0" borderId="0" applyFont="0" applyFill="0" applyBorder="0" applyAlignment="0" applyProtection="0">
      <alignment vertical="center"/>
    </xf>
    <xf numFmtId="0" fontId="29" fillId="15" borderId="0" applyNumberFormat="0" applyBorder="0" applyAlignment="0" applyProtection="0">
      <alignment vertical="center"/>
    </xf>
    <xf numFmtId="43" fontId="32" fillId="0" borderId="0" applyFont="0" applyFill="0" applyBorder="0" applyAlignment="0" applyProtection="0">
      <alignment vertical="center"/>
    </xf>
    <xf numFmtId="0" fontId="38"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29" fillId="10" borderId="0" applyNumberFormat="0" applyBorder="0" applyAlignment="0" applyProtection="0">
      <alignment vertical="center"/>
    </xf>
    <xf numFmtId="0" fontId="41" fillId="0" borderId="0" applyNumberFormat="0" applyFill="0" applyBorder="0" applyAlignment="0" applyProtection="0">
      <alignment vertical="center"/>
    </xf>
    <xf numFmtId="0" fontId="30" fillId="28" borderId="0" applyNumberFormat="0" applyBorder="0" applyAlignment="0" applyProtection="0">
      <alignment vertical="center"/>
    </xf>
    <xf numFmtId="0" fontId="32" fillId="9" borderId="13" applyNumberFormat="0" applyFont="0" applyAlignment="0" applyProtection="0">
      <alignment vertical="center"/>
    </xf>
    <xf numFmtId="0" fontId="29" fillId="32" borderId="0" applyNumberFormat="0" applyBorder="0" applyAlignment="0" applyProtection="0">
      <alignment vertical="center"/>
    </xf>
    <xf numFmtId="0" fontId="30" fillId="19" borderId="0" applyNumberFormat="0" applyBorder="0" applyAlignment="0" applyProtection="0">
      <alignment vertical="center"/>
    </xf>
    <xf numFmtId="0" fontId="29" fillId="24" borderId="0" applyNumberFormat="0" applyBorder="0" applyAlignment="0" applyProtection="0">
      <alignment vertical="center"/>
    </xf>
    <xf numFmtId="0" fontId="44" fillId="0" borderId="0" applyNumberFormat="0" applyFill="0" applyBorder="0" applyAlignment="0" applyProtection="0">
      <alignment vertical="center"/>
    </xf>
    <xf numFmtId="41" fontId="32" fillId="0" borderId="0" applyFont="0" applyFill="0" applyBorder="0" applyAlignment="0" applyProtection="0">
      <alignment vertical="center"/>
    </xf>
    <xf numFmtId="0" fontId="34" fillId="0" borderId="14" applyNumberFormat="0" applyFill="0" applyAlignment="0" applyProtection="0">
      <alignment vertical="center"/>
    </xf>
    <xf numFmtId="0" fontId="29" fillId="17" borderId="0" applyNumberFormat="0" applyBorder="0" applyAlignment="0" applyProtection="0">
      <alignment vertical="center"/>
    </xf>
    <xf numFmtId="0" fontId="31" fillId="0" borderId="12" applyNumberFormat="0" applyFill="0" applyAlignment="0" applyProtection="0">
      <alignment vertical="center"/>
    </xf>
    <xf numFmtId="0" fontId="30" fillId="7" borderId="0" applyNumberFormat="0" applyBorder="0" applyAlignment="0" applyProtection="0">
      <alignment vertical="center"/>
    </xf>
    <xf numFmtId="0" fontId="29" fillId="6" borderId="0" applyNumberFormat="0" applyBorder="0" applyAlignment="0" applyProtection="0">
      <alignment vertical="center"/>
    </xf>
    <xf numFmtId="0" fontId="45" fillId="0" borderId="19" applyNumberFormat="0" applyFill="0" applyAlignment="0" applyProtection="0">
      <alignment vertical="center"/>
    </xf>
  </cellStyleXfs>
  <cellXfs count="115">
    <xf numFmtId="0" fontId="0" fillId="0" borderId="0" xfId="0">
      <alignment vertical="center"/>
    </xf>
    <xf numFmtId="182" fontId="1" fillId="0" borderId="0" xfId="0" applyNumberFormat="1" applyFont="1">
      <alignment vertical="center"/>
    </xf>
    <xf numFmtId="49" fontId="1" fillId="0" borderId="0" xfId="0" applyNumberFormat="1" applyFont="1">
      <alignment vertical="center"/>
    </xf>
    <xf numFmtId="0" fontId="2" fillId="0" borderId="1" xfId="0" applyFont="1" applyBorder="1" applyAlignment="1">
      <alignment horizontal="center" vertical="center" wrapText="1"/>
    </xf>
    <xf numFmtId="0" fontId="3" fillId="2" borderId="1" xfId="0" applyFont="1" applyFill="1" applyBorder="1" applyAlignment="1">
      <alignment horizontal="center" vertical="center"/>
    </xf>
    <xf numFmtId="0" fontId="1" fillId="0" borderId="1" xfId="0" applyFont="1" applyBorder="1" applyAlignment="1">
      <alignment horizontal="center" vertical="center"/>
    </xf>
    <xf numFmtId="0" fontId="4" fillId="0" borderId="1" xfId="0" applyFont="1" applyFill="1" applyBorder="1" applyAlignment="1">
      <alignment horizontal="center" vertical="center" wrapText="1"/>
    </xf>
    <xf numFmtId="0" fontId="1" fillId="0" borderId="0" xfId="0" applyFont="1" applyAlignment="1">
      <alignment horizontal="center" vertical="center"/>
    </xf>
    <xf numFmtId="182" fontId="2" fillId="0" borderId="1" xfId="0" applyNumberFormat="1" applyFont="1" applyBorder="1" applyAlignment="1">
      <alignment horizontal="center" vertical="center" wrapText="1"/>
    </xf>
    <xf numFmtId="0" fontId="2" fillId="0" borderId="1" xfId="0" applyFont="1" applyBorder="1" applyAlignment="1">
      <alignment horizontal="center"/>
    </xf>
    <xf numFmtId="182" fontId="2" fillId="0" borderId="1" xfId="0" applyNumberFormat="1" applyFont="1" applyBorder="1" applyAlignment="1">
      <alignment horizontal="center"/>
    </xf>
    <xf numFmtId="185" fontId="2" fillId="0" borderId="1" xfId="0" applyNumberFormat="1" applyFont="1" applyBorder="1" applyAlignment="1">
      <alignment horizontal="center" vertical="center"/>
    </xf>
    <xf numFmtId="182" fontId="2" fillId="3" borderId="1" xfId="0" applyNumberFormat="1" applyFont="1" applyFill="1" applyBorder="1" applyAlignment="1">
      <alignment horizontal="center" vertical="center"/>
    </xf>
    <xf numFmtId="9" fontId="2" fillId="0" borderId="1" xfId="0" applyNumberFormat="1" applyFont="1" applyBorder="1" applyAlignment="1">
      <alignment horizontal="center"/>
    </xf>
    <xf numFmtId="182" fontId="2" fillId="0" borderId="1" xfId="0" applyNumberFormat="1" applyFont="1" applyBorder="1" applyAlignment="1">
      <alignment horizontal="center" vertical="center"/>
    </xf>
    <xf numFmtId="186" fontId="2" fillId="0" borderId="1" xfId="0" applyNumberFormat="1" applyFont="1" applyBorder="1" applyAlignment="1">
      <alignment horizontal="center" vertical="center"/>
    </xf>
    <xf numFmtId="182" fontId="2" fillId="3" borderId="1" xfId="0" applyNumberFormat="1" applyFont="1" applyFill="1" applyBorder="1" applyAlignment="1">
      <alignment horizontal="center" vertical="center" wrapText="1"/>
    </xf>
    <xf numFmtId="0" fontId="5" fillId="0" borderId="0" xfId="0" applyFont="1" applyFill="1" applyAlignment="1">
      <alignment horizontal="left"/>
    </xf>
    <xf numFmtId="0" fontId="6" fillId="0" borderId="0" xfId="0" applyFont="1">
      <alignment vertical="center"/>
    </xf>
    <xf numFmtId="0" fontId="0" fillId="0" borderId="0" xfId="0" applyFill="1">
      <alignment vertical="center"/>
    </xf>
    <xf numFmtId="0" fontId="7" fillId="0" borderId="0" xfId="0" applyFont="1" applyFill="1" applyAlignment="1">
      <alignment vertical="center"/>
    </xf>
    <xf numFmtId="0" fontId="8" fillId="0" borderId="0" xfId="0" applyFont="1" applyFill="1" applyAlignment="1">
      <alignment vertical="center"/>
    </xf>
    <xf numFmtId="0" fontId="8" fillId="0" borderId="0" xfId="0" applyFont="1">
      <alignment vertical="center"/>
    </xf>
    <xf numFmtId="0" fontId="8" fillId="4" borderId="0" xfId="0" applyFont="1" applyFill="1" applyAlignment="1">
      <alignment horizontal="center" vertical="center"/>
    </xf>
    <xf numFmtId="0" fontId="9" fillId="0" borderId="0" xfId="0" applyFont="1" applyFill="1" applyAlignment="1">
      <alignment vertical="center"/>
    </xf>
    <xf numFmtId="0" fontId="8" fillId="5" borderId="0" xfId="0" applyFont="1" applyFill="1" applyAlignment="1">
      <alignment vertical="center"/>
    </xf>
    <xf numFmtId="43" fontId="8" fillId="5" borderId="0" xfId="0" applyNumberFormat="1" applyFont="1" applyFill="1" applyAlignment="1">
      <alignment vertical="center"/>
    </xf>
    <xf numFmtId="180" fontId="8" fillId="0" borderId="0" xfId="0" applyNumberFormat="1" applyFont="1" applyFill="1" applyAlignment="1">
      <alignment vertical="center"/>
    </xf>
    <xf numFmtId="43" fontId="8" fillId="0" borderId="0" xfId="0" applyNumberFormat="1" applyFont="1" applyFill="1" applyAlignment="1">
      <alignment vertical="center"/>
    </xf>
    <xf numFmtId="178" fontId="8" fillId="0" borderId="0" xfId="0" applyNumberFormat="1" applyFont="1" applyFill="1" applyAlignment="1">
      <alignment vertical="center"/>
    </xf>
    <xf numFmtId="0" fontId="10" fillId="0" borderId="0" xfId="0" applyFont="1">
      <alignment vertical="center"/>
    </xf>
    <xf numFmtId="0" fontId="11" fillId="0" borderId="0" xfId="0" applyFont="1">
      <alignment vertical="center"/>
    </xf>
    <xf numFmtId="0" fontId="8" fillId="5" borderId="0" xfId="0" applyFont="1" applyFill="1">
      <alignment vertical="center"/>
    </xf>
    <xf numFmtId="43" fontId="8" fillId="5" borderId="0" xfId="0" applyNumberFormat="1" applyFont="1" applyFill="1">
      <alignment vertical="center"/>
    </xf>
    <xf numFmtId="43" fontId="8" fillId="0" borderId="0" xfId="0" applyNumberFormat="1" applyFont="1">
      <alignment vertical="center"/>
    </xf>
    <xf numFmtId="180" fontId="8" fillId="0" borderId="0" xfId="0" applyNumberFormat="1" applyFont="1">
      <alignment vertical="center"/>
    </xf>
    <xf numFmtId="0" fontId="12" fillId="0" borderId="0" xfId="0" applyFont="1" applyAlignment="1"/>
    <xf numFmtId="0" fontId="12" fillId="0" borderId="0" xfId="0" applyFont="1" applyAlignment="1">
      <alignment horizontal="center" vertical="center" wrapText="1"/>
    </xf>
    <xf numFmtId="0" fontId="12" fillId="0" borderId="0" xfId="0" applyFont="1" applyAlignment="1">
      <alignment horizontal="left" vertical="center" wrapText="1"/>
    </xf>
    <xf numFmtId="0" fontId="12" fillId="0" borderId="0" xfId="0" applyFont="1" applyAlignment="1">
      <alignment vertical="center" wrapText="1"/>
    </xf>
    <xf numFmtId="0" fontId="1" fillId="0" borderId="0" xfId="0" applyFont="1" applyAlignment="1"/>
    <xf numFmtId="0" fontId="13" fillId="0" borderId="0" xfId="0" applyFont="1" applyAlignment="1"/>
    <xf numFmtId="0" fontId="14" fillId="0" borderId="1" xfId="0" applyFont="1" applyBorder="1" applyAlignment="1">
      <alignment horizontal="center" vertical="center" wrapText="1"/>
    </xf>
    <xf numFmtId="0" fontId="14" fillId="0" borderId="1" xfId="0" applyFont="1" applyBorder="1" applyAlignment="1">
      <alignment horizontal="center" vertical="center"/>
    </xf>
    <xf numFmtId="0" fontId="15" fillId="0" borderId="1" xfId="0" applyFont="1" applyBorder="1" applyAlignment="1">
      <alignment horizontal="center" vertical="center" wrapText="1"/>
    </xf>
    <xf numFmtId="0" fontId="15" fillId="0" borderId="1" xfId="0" applyFont="1" applyBorder="1" applyAlignment="1">
      <alignment horizontal="center" vertical="center"/>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7" fillId="0" borderId="1" xfId="0" applyFont="1" applyBorder="1">
      <alignment vertical="center"/>
    </xf>
    <xf numFmtId="0" fontId="18" fillId="0" borderId="1" xfId="0" applyFont="1" applyBorder="1" applyAlignment="1">
      <alignment horizontal="left" vertical="center" wrapText="1"/>
    </xf>
    <xf numFmtId="0" fontId="17" fillId="0" borderId="1" xfId="0" applyFont="1" applyBorder="1" applyAlignment="1">
      <alignment horizontal="left" vertical="center"/>
    </xf>
    <xf numFmtId="0" fontId="18" fillId="0" borderId="1" xfId="0" applyFont="1" applyBorder="1" applyAlignment="1">
      <alignment horizontal="left" vertical="center"/>
    </xf>
    <xf numFmtId="0" fontId="18" fillId="0" borderId="1" xfId="0" applyFont="1" applyBorder="1" applyAlignment="1">
      <alignment horizontal="center" vertical="center" wrapText="1"/>
    </xf>
    <xf numFmtId="0" fontId="18" fillId="0" borderId="1" xfId="0" applyFont="1" applyBorder="1" applyAlignment="1">
      <alignment vertical="center" wrapText="1"/>
    </xf>
    <xf numFmtId="0" fontId="19" fillId="0" borderId="1" xfId="0" applyFont="1" applyBorder="1" applyAlignment="1">
      <alignment horizontal="center" vertical="center" wrapText="1"/>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xf>
    <xf numFmtId="0" fontId="17" fillId="0" borderId="3" xfId="0" applyFont="1" applyBorder="1" applyAlignment="1">
      <alignment horizontal="left" vertical="center" wrapText="1"/>
    </xf>
    <xf numFmtId="0" fontId="18" fillId="0" borderId="4" xfId="0" applyFont="1" applyBorder="1" applyAlignment="1">
      <alignment horizontal="left" vertical="center" wrapText="1"/>
    </xf>
    <xf numFmtId="0" fontId="18" fillId="0" borderId="5" xfId="0" applyFont="1" applyBorder="1" applyAlignment="1">
      <alignment horizontal="left" vertical="center"/>
    </xf>
    <xf numFmtId="0" fontId="18" fillId="0" borderId="5" xfId="0" applyFont="1" applyBorder="1" applyAlignment="1">
      <alignment horizontal="left" vertical="center" wrapText="1"/>
    </xf>
    <xf numFmtId="0" fontId="21" fillId="0" borderId="0" xfId="0" applyFont="1" applyAlignment="1"/>
    <xf numFmtId="0" fontId="17" fillId="0" borderId="1" xfId="0" applyFont="1" applyFill="1" applyBorder="1" applyAlignment="1">
      <alignment horizontal="left" vertical="center"/>
    </xf>
    <xf numFmtId="14" fontId="18" fillId="0" borderId="1" xfId="0" applyNumberFormat="1" applyFont="1" applyBorder="1" applyAlignment="1">
      <alignment horizontal="left" vertical="center"/>
    </xf>
    <xf numFmtId="181" fontId="19" fillId="0" borderId="1" xfId="0" applyNumberFormat="1" applyFont="1" applyFill="1" applyBorder="1" applyAlignment="1">
      <alignment horizontal="center" vertical="center" wrapText="1"/>
    </xf>
    <xf numFmtId="43" fontId="19" fillId="0" borderId="1" xfId="0" applyNumberFormat="1" applyFont="1" applyFill="1" applyBorder="1" applyAlignment="1">
      <alignment horizontal="center" vertical="center" wrapText="1"/>
    </xf>
    <xf numFmtId="181" fontId="22" fillId="0" borderId="1" xfId="0" applyNumberFormat="1" applyFont="1" applyBorder="1" applyAlignment="1">
      <alignment horizontal="center" vertical="center" wrapText="1"/>
    </xf>
    <xf numFmtId="176" fontId="22" fillId="0" borderId="1" xfId="0" applyNumberFormat="1" applyFont="1" applyBorder="1" applyAlignment="1">
      <alignment horizontal="center" vertical="center" wrapText="1"/>
    </xf>
    <xf numFmtId="183" fontId="22" fillId="0" borderId="1" xfId="0" applyNumberFormat="1" applyFont="1" applyBorder="1" applyAlignment="1">
      <alignment horizontal="center" vertical="center" wrapText="1"/>
    </xf>
    <xf numFmtId="0" fontId="17" fillId="0" borderId="2" xfId="0" applyFont="1" applyBorder="1" applyAlignment="1">
      <alignment vertical="center" wrapText="1"/>
    </xf>
    <xf numFmtId="0" fontId="17" fillId="0" borderId="3" xfId="0" applyFont="1" applyBorder="1" applyAlignment="1">
      <alignment vertical="center" wrapText="1"/>
    </xf>
    <xf numFmtId="0" fontId="17" fillId="0" borderId="6" xfId="0" applyFont="1" applyBorder="1" applyAlignment="1">
      <alignment vertical="center" wrapText="1"/>
    </xf>
    <xf numFmtId="0" fontId="18" fillId="0" borderId="4" xfId="0" applyFont="1" applyBorder="1" applyAlignment="1">
      <alignment vertical="center" wrapText="1"/>
    </xf>
    <xf numFmtId="0" fontId="18" fillId="0" borderId="5" xfId="0" applyFont="1" applyBorder="1" applyAlignment="1">
      <alignment vertical="center" wrapText="1"/>
    </xf>
    <xf numFmtId="0" fontId="18" fillId="0" borderId="7" xfId="0" applyFont="1" applyBorder="1" applyAlignment="1">
      <alignment vertical="center" wrapText="1"/>
    </xf>
    <xf numFmtId="49" fontId="23" fillId="0" borderId="0" xfId="0" applyNumberFormat="1" applyFont="1" applyAlignment="1"/>
    <xf numFmtId="0" fontId="23" fillId="0" borderId="0" xfId="0" applyFont="1" applyAlignment="1"/>
    <xf numFmtId="0" fontId="12" fillId="0" borderId="0" xfId="0" applyFont="1" applyFill="1" applyAlignment="1">
      <alignment horizontal="center" vertical="center" wrapText="1"/>
    </xf>
    <xf numFmtId="0" fontId="12" fillId="0" borderId="0" xfId="0" applyFont="1" applyAlignment="1">
      <alignment wrapText="1"/>
    </xf>
    <xf numFmtId="0" fontId="16" fillId="0" borderId="1" xfId="0" applyFont="1" applyBorder="1" applyAlignment="1">
      <alignment horizontal="center" vertical="center" wrapText="1"/>
    </xf>
    <xf numFmtId="0" fontId="16" fillId="0" borderId="1" xfId="0" applyFont="1" applyBorder="1" applyAlignment="1">
      <alignment horizontal="center" vertical="center"/>
    </xf>
    <xf numFmtId="0" fontId="17" fillId="0" borderId="1" xfId="0" applyFont="1" applyBorder="1" applyAlignment="1">
      <alignment horizontal="left" vertical="center" wrapText="1"/>
    </xf>
    <xf numFmtId="0" fontId="18" fillId="0" borderId="8" xfId="0" applyFont="1" applyBorder="1" applyAlignment="1">
      <alignment horizontal="center" vertical="center" wrapText="1"/>
    </xf>
    <xf numFmtId="184" fontId="24" fillId="0" borderId="1" xfId="0" applyNumberFormat="1" applyFont="1" applyFill="1" applyBorder="1" applyAlignment="1">
      <alignment horizontal="center" vertical="center"/>
    </xf>
    <xf numFmtId="0" fontId="20" fillId="0" borderId="8" xfId="0" applyFont="1" applyBorder="1" applyAlignment="1">
      <alignment horizontal="center" vertical="center" wrapText="1"/>
    </xf>
    <xf numFmtId="0" fontId="20" fillId="0" borderId="9" xfId="0" applyFont="1" applyBorder="1" applyAlignment="1">
      <alignment horizontal="center" vertical="center" wrapText="1"/>
    </xf>
    <xf numFmtId="0" fontId="18" fillId="0" borderId="2" xfId="0" applyFont="1" applyBorder="1" applyAlignment="1">
      <alignment horizontal="left" vertical="center" wrapText="1"/>
    </xf>
    <xf numFmtId="0" fontId="18" fillId="0" borderId="3" xfId="0" applyFont="1" applyBorder="1" applyAlignment="1">
      <alignment horizontal="left" vertical="center" wrapText="1"/>
    </xf>
    <xf numFmtId="0" fontId="18" fillId="0" borderId="10" xfId="0" applyFont="1" applyBorder="1" applyAlignment="1">
      <alignment horizontal="left" vertical="center" wrapText="1"/>
    </xf>
    <xf numFmtId="0" fontId="18" fillId="0" borderId="0" xfId="0" applyFont="1" applyAlignment="1">
      <alignment horizontal="left" vertical="center" wrapText="1"/>
    </xf>
    <xf numFmtId="0" fontId="17" fillId="0" borderId="10" xfId="0" applyFont="1" applyBorder="1" applyAlignment="1">
      <alignment horizontal="left" vertical="center" wrapText="1"/>
    </xf>
    <xf numFmtId="0" fontId="17" fillId="0" borderId="0" xfId="0" applyFont="1" applyAlignment="1">
      <alignment horizontal="left" vertical="center" wrapText="1"/>
    </xf>
    <xf numFmtId="0" fontId="25" fillId="0" borderId="10" xfId="0" applyFont="1" applyBorder="1" applyAlignment="1">
      <alignment horizontal="left" vertical="center"/>
    </xf>
    <xf numFmtId="0" fontId="25" fillId="0" borderId="0" xfId="0" applyFont="1" applyAlignment="1">
      <alignment horizontal="left" vertical="center"/>
    </xf>
    <xf numFmtId="179" fontId="18" fillId="0" borderId="1" xfId="0" applyNumberFormat="1" applyFont="1" applyFill="1" applyBorder="1" applyAlignment="1">
      <alignment horizontal="center" vertical="center"/>
    </xf>
    <xf numFmtId="0" fontId="26" fillId="0" borderId="1" xfId="0" applyFont="1" applyBorder="1" applyAlignment="1">
      <alignment horizontal="center" vertical="center" wrapText="1"/>
    </xf>
    <xf numFmtId="179" fontId="17" fillId="0" borderId="1" xfId="0" applyNumberFormat="1" applyFont="1" applyBorder="1" applyAlignment="1">
      <alignment horizontal="center" vertical="center"/>
    </xf>
    <xf numFmtId="0" fontId="18" fillId="0" borderId="6" xfId="0" applyFont="1" applyBorder="1" applyAlignment="1">
      <alignment horizontal="left" vertical="center" wrapText="1"/>
    </xf>
    <xf numFmtId="0" fontId="18" fillId="0" borderId="11" xfId="0" applyFont="1" applyBorder="1" applyAlignment="1">
      <alignment horizontal="left" vertical="center" wrapText="1"/>
    </xf>
    <xf numFmtId="0" fontId="23" fillId="0" borderId="0" xfId="0" applyFont="1" applyAlignment="1">
      <alignment wrapText="1"/>
    </xf>
    <xf numFmtId="0" fontId="25" fillId="0" borderId="11" xfId="0" applyFont="1" applyBorder="1" applyAlignment="1">
      <alignment horizontal="left" vertical="center"/>
    </xf>
    <xf numFmtId="0" fontId="18" fillId="0" borderId="7" xfId="0" applyFont="1" applyBorder="1" applyAlignment="1">
      <alignment horizontal="left" vertical="center" wrapText="1"/>
    </xf>
    <xf numFmtId="0" fontId="27" fillId="0" borderId="0" xfId="0" applyFont="1">
      <alignment vertical="center"/>
    </xf>
    <xf numFmtId="0" fontId="12" fillId="0" borderId="0" xfId="0" applyFont="1" applyFill="1" applyAlignment="1"/>
    <xf numFmtId="0" fontId="28" fillId="0" borderId="0" xfId="0" applyFont="1" applyFill="1" applyAlignment="1"/>
    <xf numFmtId="43" fontId="28" fillId="0" borderId="0" xfId="0" applyNumberFormat="1" applyFont="1" applyFill="1" applyAlignment="1"/>
    <xf numFmtId="0" fontId="26" fillId="0" borderId="1" xfId="0" applyFont="1" applyFill="1" applyBorder="1" applyAlignment="1">
      <alignment horizontal="center" vertical="center" wrapText="1"/>
    </xf>
    <xf numFmtId="179" fontId="17" fillId="0" borderId="1" xfId="0" applyNumberFormat="1" applyFont="1" applyFill="1" applyBorder="1" applyAlignment="1">
      <alignment horizontal="center" vertical="center"/>
    </xf>
    <xf numFmtId="43" fontId="12" fillId="0" borderId="0" xfId="0" applyNumberFormat="1" applyFont="1" applyFill="1" applyAlignment="1">
      <alignment horizontal="center" vertical="center" wrapText="1"/>
    </xf>
    <xf numFmtId="184" fontId="12" fillId="0" borderId="0" xfId="0" applyNumberFormat="1" applyFont="1" applyFill="1" applyAlignment="1"/>
    <xf numFmtId="177" fontId="12" fillId="0" borderId="0" xfId="9" applyNumberFormat="1" applyFont="1" applyAlignment="1"/>
    <xf numFmtId="0" fontId="19" fillId="0" borderId="1" xfId="0" applyFont="1" applyBorder="1" applyAlignment="1" quotePrefix="1">
      <alignment horizontal="center"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15">
    <dxf>
      <font>
        <color rgb="FFDCC776"/>
      </font>
      <fill>
        <patternFill patternType="solid">
          <bgColor rgb="FFFEEB9B"/>
        </patternFill>
      </fill>
    </dxf>
    <dxf>
      <font>
        <color rgb="FFD73434"/>
      </font>
      <fill>
        <patternFill patternType="solid">
          <bgColor rgb="FFFEC8CE"/>
        </patternFill>
      </fill>
    </dxf>
    <dxf>
      <font>
        <color rgb="FF006100"/>
      </font>
      <fill>
        <patternFill patternType="solid">
          <bgColor rgb="FFC6EFCE"/>
        </patternFill>
      </fill>
    </dxf>
    <dxf>
      <font>
        <color rgb="FFDCC776"/>
      </font>
      <fill>
        <patternFill patternType="solid">
          <bgColor rgb="FFFEEB9B"/>
        </patternFill>
      </fill>
    </dxf>
    <dxf>
      <font>
        <color rgb="FFD73434"/>
      </font>
      <fill>
        <patternFill patternType="solid">
          <bgColor rgb="FFFEC8CE"/>
        </patternFill>
      </fill>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2" defaultPivotStyle="PivotStylePreset2_Accent1">
    <tableStyle name="PivotStylePreset2_Accent1" table="0" count="10" xr9:uid="267968C86FFD4C36ACC19EA1FD1885CA">
      <tableStyleElement type="headerRow" dxfId="14"/>
      <tableStyleElement type="totalRow" dxfId="13"/>
      <tableStyleElement type="firstRowStripe" dxfId="12"/>
      <tableStyleElement type="firstColumnStripe" dxfId="11"/>
      <tableStyleElement type="firstSubtotalRow" dxfId="10"/>
      <tableStyleElement type="secondSubtotalRow" dxfId="9"/>
      <tableStyleElement type="firstRowSubheading" dxfId="8"/>
      <tableStyleElement type="secondRowSubheading" dxfId="7"/>
      <tableStyleElement type="pageFieldLabels" dxfId="6"/>
      <tableStyleElement type="pageFieldValues" dxfId="5"/>
    </tableStyle>
  </tableStyles>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2.xml"/><Relationship Id="rId8" Type="http://schemas.openxmlformats.org/officeDocument/2006/relationships/externalLink" Target="externalLinks/externalLink1.xml"/><Relationship Id="rId7" Type="http://schemas.openxmlformats.org/officeDocument/2006/relationships/customXml" Target="../customXml/item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elena/Library/Containers/com.kingsoft.wpsoffice.mac/Data/Library/Application%20Support/Kingsoft/WPS%20Cloud%20Files/userdata/qing/filecache/212320004/&#22242;&#38431;&#25991;&#26723;/&#25463;&#28126;/11-&#25253;&#20851;&#35760;&#24405;/20250712&#31143;&#29790;&#37117;//Users/45903/Desktop/&#25463;&#28126;/0423%20&#38598;&#20013;&#37319;&#36141;&#65292;&#38518;&#29943;&#65292;&#23631;&#39118;/&#22806;&#38144;&#20986;&#21475;&#21512;&#21516;%20&#21457;&#31080;POR240000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helena/Library/Containers/com.kingsoft.wpsoffice.mac/Data/Library/Application%20Support/Kingsoft/WPS%20Cloud%20Files/userdata/qing/filecache/212320004/&#22242;&#38431;&#25991;&#26723;/&#25463;&#28126;/1-&#37319;&#36141;&#28165;&#21333;/&#30003;&#25253;&#35201;&#32032;&#30446;&#2440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    合 同    "/>
      <sheetName val="发   票"/>
      <sheetName val="箱   单 "/>
    </sheetNames>
    <sheetDataSet>
      <sheetData sheetId="0">
        <row r="1">
          <cell r="A1" t="str">
            <v>JIESONG INTERNATIONAL LOGISTICS CO., LTD
上海捷淞国际物流有限公司</v>
          </cell>
        </row>
        <row r="5">
          <cell r="B5" t="str">
            <v>上海捷淞国际物流有限公司
JIESONG INTERNATIONAL LOGISTICS CO., LTD
C / F, 888 Huanhu West second Road, Lingang New District, China (Shanghai) Free Trade Experimental Zone / 201306</v>
          </cell>
        </row>
        <row r="6">
          <cell r="B6" t="str">
            <v>Sp food trading LLC</v>
          </cell>
        </row>
      </sheetData>
      <sheetData sheetId="1"/>
      <sheetData sheetId="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货品目录"/>
      <sheetName val="合作公司"/>
    </sheetNames>
    <sheetDataSet>
      <sheetData sheetId="0">
        <row r="1">
          <cell r="B1" t="str">
            <v>商品品名</v>
          </cell>
          <cell r="C1" t="str">
            <v>HS Code</v>
          </cell>
          <cell r="D1" t="str">
            <v>品牌类型</v>
          </cell>
          <cell r="E1" t="str">
            <v>出口享惠情况</v>
          </cell>
          <cell r="F1" t="str">
            <v>用途</v>
          </cell>
          <cell r="G1" t="str">
            <v>外观/加工方法</v>
          </cell>
          <cell r="H1" t="str">
            <v>材质构成/防水率</v>
          </cell>
          <cell r="I1" t="str">
            <v>种类</v>
          </cell>
          <cell r="J1" t="str">
            <v>品牌</v>
          </cell>
          <cell r="K1" t="str">
            <v>型号/颜色</v>
          </cell>
          <cell r="L1" t="str">
            <v>境内货源地</v>
          </cell>
          <cell r="M1" t="str">
            <v>商品要素聚合</v>
          </cell>
        </row>
        <row r="2">
          <cell r="B2" t="str">
            <v>传送带</v>
          </cell>
          <cell r="C2">
            <v>4010110000</v>
          </cell>
          <cell r="D2">
            <v>0</v>
          </cell>
          <cell r="E2">
            <v>0</v>
          </cell>
          <cell r="F2" t="str">
            <v>传菜用途</v>
          </cell>
          <cell r="G2" t="str">
            <v>长条回转带</v>
          </cell>
          <cell r="H2" t="str">
            <v>304不锈钢、4*4角铁</v>
          </cell>
        </row>
        <row r="2">
          <cell r="J2" t="str">
            <v>无品牌</v>
          </cell>
          <cell r="K2" t="str">
            <v>宽度600型</v>
          </cell>
          <cell r="L2" t="str">
            <v>广州市番禺区</v>
          </cell>
          <cell r="M2" t="str">
            <v>0|0|传菜用途|长条回转带|304不锈钢、4*4角铁|无品牌|宽度600型</v>
          </cell>
        </row>
        <row r="3">
          <cell r="B3" t="str">
            <v>钢化玻璃</v>
          </cell>
          <cell r="C3">
            <v>7007190000</v>
          </cell>
          <cell r="D3">
            <v>0</v>
          </cell>
          <cell r="E3">
            <v>0</v>
          </cell>
          <cell r="F3" t="str">
            <v>防尘用途</v>
          </cell>
          <cell r="G3" t="str">
            <v>钢化</v>
          </cell>
        </row>
        <row r="3">
          <cell r="J3" t="str">
            <v>无品牌</v>
          </cell>
        </row>
        <row r="3">
          <cell r="L3" t="str">
            <v>广州市番禺区</v>
          </cell>
          <cell r="M3" t="str">
            <v>0|0|防尘用途|钢化|无品牌|</v>
          </cell>
        </row>
        <row r="4">
          <cell r="B4" t="str">
            <v>支撑柱</v>
          </cell>
          <cell r="C4">
            <v>7308900000</v>
          </cell>
          <cell r="D4">
            <v>0</v>
          </cell>
          <cell r="E4">
            <v>0</v>
          </cell>
          <cell r="F4" t="str">
            <v>支撑用</v>
          </cell>
        </row>
        <row r="4">
          <cell r="H4" t="str">
            <v>304不锈钢</v>
          </cell>
          <cell r="I4" t="str">
            <v>支撑柱</v>
          </cell>
        </row>
        <row r="4">
          <cell r="L4" t="str">
            <v>广州市番禺区</v>
          </cell>
          <cell r="M4" t="str">
            <v>0|0|支撑用|304不锈钢|支撑柱|</v>
          </cell>
        </row>
        <row r="5">
          <cell r="B5" t="str">
            <v>电磁炉</v>
          </cell>
          <cell r="C5">
            <v>8516601000</v>
          </cell>
          <cell r="D5">
            <v>0</v>
          </cell>
          <cell r="E5">
            <v>0</v>
          </cell>
          <cell r="F5" t="str">
            <v>餐厅加热食品用</v>
          </cell>
          <cell r="G5" t="str">
            <v>电磁炉应用电磁感应原理对食品进行加热。炉面是耐热陶瓷板，交变电流通过陶瓷板下方的线圈产生磁场，磁场内的磁力线穿过铁锅、不锈钢等底部时，产生涡流，令锅底迅速发热，达到加热食品的目的。</v>
          </cell>
        </row>
        <row r="5">
          <cell r="J5" t="str">
            <v>无品牌</v>
          </cell>
          <cell r="K5" t="str">
            <v>H6</v>
          </cell>
          <cell r="L5" t="str">
            <v>佛山市顺德区</v>
          </cell>
          <cell r="M5" t="str">
            <v>0|0|餐厅加热食品用|电磁炉应用电磁感应原理对食品进行加热。炉面是耐热陶瓷板，交变电流通过陶瓷板下方的线圈产生磁场，磁场内的磁力线穿过铁锅、不锈钢等底部时，产生涡流，令锅底迅速发热，达到加热食品的目的。|无品牌|H6</v>
          </cell>
        </row>
        <row r="6">
          <cell r="B6" t="str">
            <v>电烤炉</v>
          </cell>
          <cell r="C6">
            <v>8516609000</v>
          </cell>
          <cell r="D6">
            <v>0</v>
          </cell>
          <cell r="E6">
            <v>0</v>
          </cell>
          <cell r="F6" t="str">
            <v>餐厅加热食品用</v>
          </cell>
          <cell r="G6" t="str">
            <v>烧烤炉采用红外线发热技术原理，经炉盘的镍铬丝进行发热产生热量，在产生热量的时候会发出红外线。这种技术使得电陶炉加热速度加快，产热过程中健康、安全、无危害身体健康。</v>
          </cell>
        </row>
        <row r="6">
          <cell r="J6" t="str">
            <v>无品牌</v>
          </cell>
          <cell r="K6" t="str">
            <v>DT18</v>
          </cell>
          <cell r="L6" t="str">
            <v>佛山市顺德区</v>
          </cell>
          <cell r="M6" t="str">
            <v>0|0|餐厅加热食品用|烧烤炉采用红外线发热技术原理，经炉盘的镍铬丝进行发热产生热量，在产生热量的时候会发出红外线。这种技术使得电陶炉加热速度加快，产热过程中健康、安全、无危害身体健康。|无品牌|DT18</v>
          </cell>
        </row>
        <row r="7">
          <cell r="B7" t="str">
            <v>烤盘</v>
          </cell>
          <cell r="C7" t="str">
            <v>7615109000</v>
          </cell>
          <cell r="D7">
            <v>0</v>
          </cell>
          <cell r="E7">
            <v>0</v>
          </cell>
          <cell r="F7" t="str">
            <v>餐桌用</v>
          </cell>
        </row>
        <row r="7">
          <cell r="H7" t="str">
            <v>铝合金</v>
          </cell>
          <cell r="I7" t="str">
            <v>未搪瓷</v>
          </cell>
          <cell r="J7" t="str">
            <v>烤盘</v>
          </cell>
        </row>
        <row r="7">
          <cell r="L7" t="str">
            <v>佛山市顺德区</v>
          </cell>
          <cell r="M7" t="str">
            <v>0|0|餐桌用|铝合金|烤盘|</v>
          </cell>
        </row>
        <row r="8">
          <cell r="B8" t="str">
            <v>接油盘</v>
          </cell>
          <cell r="C8">
            <v>7323990000</v>
          </cell>
          <cell r="D8">
            <v>0</v>
          </cell>
          <cell r="E8">
            <v>0</v>
          </cell>
          <cell r="F8" t="str">
            <v>餐桌用</v>
          </cell>
          <cell r="G8" t="str">
            <v>不锈钢</v>
          </cell>
          <cell r="H8" t="str">
            <v>接油盘</v>
          </cell>
          <cell r="I8" t="str">
            <v>未搪瓷</v>
          </cell>
          <cell r="J8" t="str">
            <v>无品牌</v>
          </cell>
        </row>
        <row r="8">
          <cell r="L8" t="str">
            <v>佛山市顺德区</v>
          </cell>
          <cell r="M8" t="str">
            <v>0|0|餐桌用|不锈钢|接油盘|无品牌|</v>
          </cell>
        </row>
        <row r="9">
          <cell r="B9" t="str">
            <v>不锈钢圈</v>
          </cell>
          <cell r="C9">
            <v>7323930000</v>
          </cell>
          <cell r="D9">
            <v>0</v>
          </cell>
          <cell r="E9">
            <v>0</v>
          </cell>
          <cell r="F9" t="str">
            <v>厨房用</v>
          </cell>
          <cell r="G9" t="str">
            <v>不锈钢</v>
          </cell>
          <cell r="H9" t="str">
            <v>盖子</v>
          </cell>
          <cell r="I9" t="str">
            <v>未搪瓷</v>
          </cell>
          <cell r="J9" t="str">
            <v>无品牌</v>
          </cell>
        </row>
        <row r="9">
          <cell r="L9" t="str">
            <v>佛山市顺德区</v>
          </cell>
          <cell r="M9" t="str">
            <v>0|0|厨房用|不锈钢|盖子|无品牌|</v>
          </cell>
        </row>
        <row r="10">
          <cell r="B10" t="str">
            <v>瓷砖</v>
          </cell>
          <cell r="C10">
            <v>6907219000</v>
          </cell>
          <cell r="D10">
            <v>0</v>
          </cell>
          <cell r="E10">
            <v>0</v>
          </cell>
          <cell r="F10" t="str">
            <v>铺面砖</v>
          </cell>
          <cell r="G10" t="str">
            <v>800*800</v>
          </cell>
          <cell r="H10">
            <v>0.003</v>
          </cell>
        </row>
        <row r="10">
          <cell r="J10" t="str">
            <v>无品牌</v>
          </cell>
          <cell r="K10" t="str">
            <v>深灰色</v>
          </cell>
          <cell r="L10" t="str">
            <v>佛山市禅城区</v>
          </cell>
          <cell r="M10" t="str">
            <v>0|0|铺面砖|800*800|0.003|无品牌|深灰色</v>
          </cell>
        </row>
        <row r="11">
          <cell r="B11" t="str">
            <v>铁艺屏风</v>
          </cell>
          <cell r="C11">
            <v>8306299000</v>
          </cell>
          <cell r="D11">
            <v>0</v>
          </cell>
          <cell r="E11">
            <v>0</v>
          </cell>
          <cell r="F11" t="str">
            <v>碳钢管</v>
          </cell>
          <cell r="G11" t="str">
            <v>屏风</v>
          </cell>
          <cell r="H11" t="str">
            <v>未镀贵金属|非铃、钟、锣</v>
          </cell>
        </row>
        <row r="11">
          <cell r="J11" t="str">
            <v>无品牌</v>
          </cell>
          <cell r="K11" t="str">
            <v>方管4*4 3*3</v>
          </cell>
          <cell r="L11" t="str">
            <v>泉州市安溪县</v>
          </cell>
          <cell r="M11" t="str">
            <v>0|0|碳钢管|屏风|未镀贵金属|非铃、钟、锣|无品牌|方管4*4 3*3</v>
          </cell>
        </row>
        <row r="12">
          <cell r="B12" t="str">
            <v>铸铝门</v>
          </cell>
          <cell r="C12" t="str">
            <v>7610100000</v>
          </cell>
          <cell r="D12">
            <v>0</v>
          </cell>
          <cell r="E12">
            <v>0</v>
          </cell>
          <cell r="F12" t="str">
            <v>铝</v>
          </cell>
          <cell r="G12" t="str">
            <v>门</v>
          </cell>
          <cell r="H12" t="str">
            <v>铰链</v>
          </cell>
          <cell r="I12" t="str">
            <v>门</v>
          </cell>
        </row>
        <row r="12">
          <cell r="L12" t="str">
            <v>浙江省金华市</v>
          </cell>
          <cell r="M12" t="str">
            <v>0|0|铝|门|铰链|</v>
          </cell>
        </row>
        <row r="13">
          <cell r="B13" t="str">
            <v>玻璃酒瓶</v>
          </cell>
          <cell r="C13" t="str">
            <v>7010902000</v>
          </cell>
          <cell r="D13">
            <v>0</v>
          </cell>
          <cell r="E13">
            <v>0</v>
          </cell>
          <cell r="F13" t="str">
            <v>用于装饰的空酒瓶</v>
          </cell>
          <cell r="G13" t="str">
            <v>750ml</v>
          </cell>
        </row>
        <row r="13">
          <cell r="L13" t="str">
            <v>江苏省徐州市</v>
          </cell>
          <cell r="M13" t="str">
            <v>0|0|用于装饰的空酒瓶|750ml||</v>
          </cell>
        </row>
        <row r="14">
          <cell r="B14" t="str">
            <v>回转火锅传送设备</v>
          </cell>
          <cell r="C14" t="str">
            <v>8428391000</v>
          </cell>
          <cell r="D14">
            <v>0</v>
          </cell>
          <cell r="E14">
            <v>0</v>
          </cell>
          <cell r="F14" t="str">
            <v>用于传输食材的传送设备</v>
          </cell>
          <cell r="G14" t="str">
            <v>带式</v>
          </cell>
          <cell r="H14" t="str">
            <v>无</v>
          </cell>
          <cell r="I14" t="str">
            <v>宽度600型</v>
          </cell>
        </row>
        <row r="14">
          <cell r="K14" t="str">
            <v>宽度600型</v>
          </cell>
          <cell r="L14" t="str">
            <v>广州市番禺区</v>
          </cell>
          <cell r="M14" t="str">
            <v>0|0|用于传输食材的传送设备|带式|无|宽度600型</v>
          </cell>
        </row>
        <row r="15">
          <cell r="B15" t="str">
            <v>不锈钢桌面</v>
          </cell>
          <cell r="C15">
            <v>9403200000</v>
          </cell>
          <cell r="D15">
            <v>0</v>
          </cell>
          <cell r="E15">
            <v>0</v>
          </cell>
          <cell r="F15" t="str">
            <v>餐厅使用等位桌</v>
          </cell>
          <cell r="G15" t="str">
            <v>不锈钢</v>
          </cell>
          <cell r="H15" t="str">
            <v>无</v>
          </cell>
        </row>
        <row r="15">
          <cell r="K15" t="str">
            <v>810宽型</v>
          </cell>
          <cell r="L15" t="str">
            <v>漳州市</v>
          </cell>
          <cell r="M15" t="str">
            <v>0|0|餐厅使用等位桌|不锈钢|无|810宽型</v>
          </cell>
        </row>
        <row r="16">
          <cell r="B16" t="str">
            <v>PU石皮大板</v>
          </cell>
          <cell r="C16">
            <v>3920999090</v>
          </cell>
          <cell r="D16">
            <v>0</v>
          </cell>
          <cell r="E16">
            <v>0</v>
          </cell>
          <cell r="F16" t="str">
            <v>墙面装饰</v>
          </cell>
          <cell r="G16" t="str">
            <v>深空黑色大板</v>
          </cell>
          <cell r="H16" t="str">
            <v>PU材质</v>
          </cell>
          <cell r="I16" t="str">
            <v>1*3米尺寸</v>
          </cell>
          <cell r="J16" t="str">
            <v>1*3米</v>
          </cell>
          <cell r="K16" t="str">
            <v>无品牌|1*3*8mm</v>
          </cell>
          <cell r="L16" t="str">
            <v>江苏省宿迁市</v>
          </cell>
          <cell r="M16" t="str">
            <v>0|0|墙面装饰|深空黑色大板|PU材质|1*3米|无品牌|1*3*8mm</v>
          </cell>
        </row>
        <row r="17">
          <cell r="B17" t="str">
            <v>餐盘</v>
          </cell>
          <cell r="C17" t="str">
            <v>3924100000</v>
          </cell>
          <cell r="D17">
            <v>0</v>
          </cell>
          <cell r="E17">
            <v>0</v>
          </cell>
          <cell r="F17" t="str">
            <v>用于盛装食材</v>
          </cell>
          <cell r="G17" t="str">
            <v>密胺</v>
          </cell>
          <cell r="H17" t="str">
            <v>无</v>
          </cell>
          <cell r="I17">
            <v>1810</v>
          </cell>
        </row>
        <row r="17">
          <cell r="L17" t="str">
            <v>广东省东莞市</v>
          </cell>
          <cell r="M17" t="str">
            <v>0|0|用于盛装食材|密胺|无|</v>
          </cell>
        </row>
        <row r="18">
          <cell r="B18" t="str">
            <v>铝合金提箱</v>
          </cell>
          <cell r="C18" t="str">
            <v>4202190000</v>
          </cell>
          <cell r="D18">
            <v>0</v>
          </cell>
          <cell r="E18">
            <v>0</v>
          </cell>
          <cell r="F18" t="str">
            <v>烤盘提箱</v>
          </cell>
          <cell r="G18" t="str">
            <v>铝合金</v>
          </cell>
          <cell r="H18" t="str">
            <v>无</v>
          </cell>
          <cell r="I18" t="str">
            <v>无</v>
          </cell>
          <cell r="J18" t="str">
            <v>330mm型</v>
          </cell>
        </row>
        <row r="18">
          <cell r="L18" t="str">
            <v>中山市小榄镇</v>
          </cell>
          <cell r="M18" t="str">
            <v>0|0|烤盘提箱|铝合金|无|330mm型|</v>
          </cell>
        </row>
        <row r="19">
          <cell r="B19" t="str">
            <v>冷冻肉切片机</v>
          </cell>
          <cell r="C19" t="str">
            <v>8438500000</v>
          </cell>
          <cell r="D19">
            <v>0</v>
          </cell>
          <cell r="E19">
            <v>0</v>
          </cell>
          <cell r="F19" t="str">
            <v>对冷冻肉类产品进行切片</v>
          </cell>
        </row>
        <row r="19">
          <cell r="H19" t="str">
            <v>NFC-350YD</v>
          </cell>
        </row>
        <row r="19">
          <cell r="L19" t="str">
            <v>北京经济技术开发区</v>
          </cell>
          <cell r="M19" t="str">
            <v>0|0|对冷冻肉类产品进行切片|NFC-350YD|</v>
          </cell>
        </row>
        <row r="20">
          <cell r="B20" t="str">
            <v>餐桌</v>
          </cell>
          <cell r="C20" t="str">
            <v>9403200000</v>
          </cell>
          <cell r="D20">
            <v>0</v>
          </cell>
          <cell r="E20">
            <v>0</v>
          </cell>
          <cell r="F20" t="str">
            <v>餐厅用于盛放餐具用品的桌子，由桌框桌架桌桶构成</v>
          </cell>
          <cell r="G20" t="str">
            <v>不锈钢</v>
          </cell>
          <cell r="H20" t="str">
            <v>无</v>
          </cell>
        </row>
        <row r="20">
          <cell r="J20" t="str">
            <v>Z67B</v>
          </cell>
        </row>
        <row r="20">
          <cell r="L20" t="str">
            <v>佛山市顺德区</v>
          </cell>
          <cell r="M20" t="str">
            <v>0|0|餐厅用于盛放餐具用品的桌子，由桌框桌架桌桶构成|不锈钢|无|Z67B|</v>
          </cell>
        </row>
        <row r="21">
          <cell r="B21" t="str">
            <v>汤锅</v>
          </cell>
          <cell r="C21" t="str">
            <v>7323990000</v>
          </cell>
          <cell r="D21">
            <v>0</v>
          </cell>
          <cell r="E21">
            <v>0</v>
          </cell>
          <cell r="F21" t="str">
            <v>餐桌用</v>
          </cell>
          <cell r="G21" t="str">
            <v>不锈钢</v>
          </cell>
          <cell r="H21" t="str">
            <v>未搪瓷</v>
          </cell>
          <cell r="I21" t="str">
            <v>无</v>
          </cell>
        </row>
        <row r="21">
          <cell r="K21" t="str">
            <v>无</v>
          </cell>
          <cell r="L21" t="str">
            <v>佛山市顺德区</v>
          </cell>
          <cell r="M21" t="str">
            <v>0|0|餐桌用|不锈钢|未搪瓷|无</v>
          </cell>
        </row>
        <row r="22">
          <cell r="B22" t="str">
            <v>新型无烟火锅</v>
          </cell>
          <cell r="C22" t="str">
            <v>8516609000</v>
          </cell>
          <cell r="D22">
            <v>0</v>
          </cell>
          <cell r="E22">
            <v>0</v>
          </cell>
          <cell r="F22" t="str">
            <v>用于加热食物</v>
          </cell>
          <cell r="G22" t="str">
            <v>通过电磁感应原理对食品进行加热，但采用了新技术无烟，设备自行可销烟</v>
          </cell>
          <cell r="H22" t="str">
            <v>无</v>
          </cell>
        </row>
        <row r="22">
          <cell r="J22" t="str">
            <v>无</v>
          </cell>
        </row>
        <row r="22">
          <cell r="L22" t="str">
            <v>佛山市顺德区</v>
          </cell>
          <cell r="M22" t="str">
            <v>0|0|用于加热食物|通过电磁感应原理对食品进行加热，但采用了新技术无烟，设备自行可销烟|无|无|</v>
          </cell>
        </row>
        <row r="23">
          <cell r="B23" t="str">
            <v>不锈钢桶</v>
          </cell>
          <cell r="C23" t="str">
            <v>7310100090</v>
          </cell>
          <cell r="D23">
            <v>0</v>
          </cell>
          <cell r="E23">
            <v>0</v>
          </cell>
          <cell r="F23" t="str">
            <v>盛装熬制的高汤使用</v>
          </cell>
          <cell r="G23" t="str">
            <v>不锈钢</v>
          </cell>
          <cell r="H23" t="str">
            <v>桶</v>
          </cell>
          <cell r="I23" t="str">
            <v>300L</v>
          </cell>
          <cell r="J23" t="str">
            <v>300L</v>
          </cell>
          <cell r="K23" t="str">
            <v>无</v>
          </cell>
          <cell r="L23" t="str">
            <v>佛山市顺德区</v>
          </cell>
          <cell r="M23" t="str">
            <v>0|0|盛装熬制的高汤使用|不锈钢|桶|300L|无</v>
          </cell>
        </row>
        <row r="24">
          <cell r="B24" t="str">
            <v>减速电机</v>
          </cell>
          <cell r="C24" t="str">
            <v>8501510090</v>
          </cell>
          <cell r="D24">
            <v>0</v>
          </cell>
          <cell r="E24">
            <v>0</v>
          </cell>
          <cell r="F24" t="str">
            <v>750kw</v>
          </cell>
          <cell r="G24" t="str">
            <v>否</v>
          </cell>
          <cell r="H24" t="str">
            <v>无</v>
          </cell>
        </row>
        <row r="24">
          <cell r="J24" t="str">
            <v>无</v>
          </cell>
        </row>
        <row r="24">
          <cell r="L24" t="str">
            <v>广州市番禺区</v>
          </cell>
          <cell r="M24" t="str">
            <v>0|0|750kw|否|无|无|</v>
          </cell>
        </row>
        <row r="25">
          <cell r="B25" t="str">
            <v>酒架</v>
          </cell>
          <cell r="C25" t="str">
            <v>7326909000</v>
          </cell>
          <cell r="D25">
            <v>0</v>
          </cell>
          <cell r="E25">
            <v>0</v>
          </cell>
          <cell r="F25" t="str">
            <v>非工业用</v>
          </cell>
          <cell r="G25" t="str">
            <v>不锈钢30*30方管</v>
          </cell>
          <cell r="H25" t="str">
            <v>不锈钢拼接而成，使用钢化玻璃承接</v>
          </cell>
        </row>
        <row r="25">
          <cell r="L25" t="str">
            <v>泉州市安溪县</v>
          </cell>
          <cell r="M25" t="str">
            <v>0|0|非工业用|不锈钢30*30方管|不锈钢拼接而成，使用钢化玻璃承接|</v>
          </cell>
        </row>
        <row r="26">
          <cell r="B26" t="str">
            <v>LED模组</v>
          </cell>
          <cell r="C26" t="str">
            <v>8531200000</v>
          </cell>
          <cell r="D26">
            <v>0</v>
          </cell>
          <cell r="E26">
            <v>0</v>
          </cell>
          <cell r="F26" t="str">
            <v>用于餐厅装饰的LED幕布墙</v>
          </cell>
          <cell r="G26" t="str">
            <v>采用发光二极管技术通过PN结施加相应电压从而发光</v>
          </cell>
          <cell r="H26" t="str">
            <v>无</v>
          </cell>
          <cell r="I26" t="str">
            <v>P2.5</v>
          </cell>
        </row>
        <row r="26">
          <cell r="K26" t="str">
            <v>5260*2540MM</v>
          </cell>
          <cell r="L26" t="str">
            <v>深圳市</v>
          </cell>
          <cell r="M26" t="str">
            <v>0|0|用于餐厅装饰的LED幕布墙|采用发光二极管技术通过PN结施加相应电压从而发光|无|5260*2540MM</v>
          </cell>
        </row>
        <row r="27">
          <cell r="B27" t="str">
            <v>不锈钢门</v>
          </cell>
          <cell r="C27" t="str">
            <v>7308300000</v>
          </cell>
          <cell r="D27">
            <v>0</v>
          </cell>
          <cell r="E27">
            <v>0</v>
          </cell>
          <cell r="F27" t="str">
            <v>用于包厢的门，用于阻挡外部环境</v>
          </cell>
          <cell r="G27" t="str">
            <v>不锈钢</v>
          </cell>
          <cell r="H27" t="str">
            <v>门</v>
          </cell>
        </row>
        <row r="27">
          <cell r="L27" t="str">
            <v>漳州市</v>
          </cell>
          <cell r="M27" t="str">
            <v>0|0|用于包厢的门，用于阻挡外部环境|不锈钢|门|</v>
          </cell>
        </row>
        <row r="28">
          <cell r="B28" t="str">
            <v>屏风</v>
          </cell>
          <cell r="C28">
            <v>9403200000</v>
          </cell>
          <cell r="D28">
            <v>0</v>
          </cell>
          <cell r="E28">
            <v>0</v>
          </cell>
          <cell r="F28" t="str">
            <v>用于装饰的铁质屏风架</v>
          </cell>
          <cell r="G28" t="str">
            <v>铁</v>
          </cell>
          <cell r="H28" t="str">
            <v>无</v>
          </cell>
          <cell r="I28" t="str">
            <v>16063*2080MM</v>
          </cell>
          <cell r="J28" t="str">
            <v>16063*2080MM</v>
          </cell>
        </row>
        <row r="28">
          <cell r="L28" t="str">
            <v>泉州市安溪县</v>
          </cell>
          <cell r="M28" t="str">
            <v>0|0|用于装饰的铁质屏风架|铁|无|16063*2080MM|</v>
          </cell>
        </row>
        <row r="29">
          <cell r="B29" t="str">
            <v>吊灯</v>
          </cell>
          <cell r="C29" t="str">
            <v>9405110000</v>
          </cell>
          <cell r="D29">
            <v>0</v>
          </cell>
          <cell r="E29">
            <v>0</v>
          </cell>
          <cell r="F29" t="str">
            <v>电动照明，用于室内照明使用灯具</v>
          </cell>
          <cell r="G29" t="str">
            <v>无品牌</v>
          </cell>
        </row>
        <row r="29">
          <cell r="L29" t="str">
            <v>中山市</v>
          </cell>
          <cell r="M29" t="str">
            <v>0|0|电动照明，用于室内照明使用灯具|无品牌||</v>
          </cell>
        </row>
        <row r="30">
          <cell r="B30" t="str">
            <v>大理石材</v>
          </cell>
          <cell r="C30" t="str">
            <v>6802911000</v>
          </cell>
          <cell r="D30">
            <v>0</v>
          </cell>
          <cell r="E30">
            <v>0</v>
          </cell>
          <cell r="F30" t="str">
            <v>用于切割的台面板</v>
          </cell>
          <cell r="G30" t="str">
            <v>大理石</v>
          </cell>
          <cell r="H30" t="str">
            <v>切锯打磨</v>
          </cell>
        </row>
        <row r="30">
          <cell r="J30" t="str">
            <v>2800*1067MM</v>
          </cell>
          <cell r="K30" t="str">
            <v>鱼肚黑</v>
          </cell>
          <cell r="L30" t="str">
            <v>广东省云浮市</v>
          </cell>
          <cell r="M30" t="str">
            <v>0|0|用于切割的台面板|大理石|切锯打磨|2800*1067MM|鱼肚黑</v>
          </cell>
        </row>
        <row r="31">
          <cell r="B31" t="str">
            <v>釉面砖</v>
          </cell>
          <cell r="C31" t="str">
            <v>6907219000</v>
          </cell>
          <cell r="D31">
            <v>0</v>
          </cell>
          <cell r="E31">
            <v>0</v>
          </cell>
          <cell r="F31" t="str">
            <v>贴面砖</v>
          </cell>
          <cell r="G31" t="str">
            <v>135*333</v>
          </cell>
          <cell r="H31" t="str">
            <v>0.2%</v>
          </cell>
        </row>
        <row r="31">
          <cell r="J31" t="str">
            <v>无</v>
          </cell>
          <cell r="K31" t="str">
            <v>白色</v>
          </cell>
          <cell r="L31" t="str">
            <v>山东省临沂市</v>
          </cell>
          <cell r="M31" t="str">
            <v>0|0|贴面砖|135*333|0.2%|无|白色</v>
          </cell>
        </row>
        <row r="32">
          <cell r="B32" t="str">
            <v>玻璃护栏</v>
          </cell>
          <cell r="C32" t="str">
            <v>7610900000</v>
          </cell>
          <cell r="D32">
            <v>0</v>
          </cell>
          <cell r="E32">
            <v>0</v>
          </cell>
          <cell r="F32" t="str">
            <v>铝、玻璃</v>
          </cell>
          <cell r="G32" t="str">
            <v>铝制支撑玻璃护栏</v>
          </cell>
          <cell r="H32" t="str">
            <v>栓接</v>
          </cell>
        </row>
        <row r="32">
          <cell r="L32" t="str">
            <v>佛山市顺德区</v>
          </cell>
          <cell r="M32" t="str">
            <v>0|0|铝、玻璃|铝制支撑玻璃护栏|栓接|</v>
          </cell>
        </row>
        <row r="33">
          <cell r="B33" t="str">
            <v>LED吊灯</v>
          </cell>
          <cell r="C33" t="str">
            <v>9405110000</v>
          </cell>
          <cell r="D33">
            <v>0</v>
          </cell>
          <cell r="E33">
            <v>0</v>
          </cell>
          <cell r="F33" t="str">
            <v>用于餐厅装饰照明使用灯具</v>
          </cell>
          <cell r="G33" t="str">
            <v>无</v>
          </cell>
        </row>
        <row r="33">
          <cell r="L33" t="str">
            <v>中山市</v>
          </cell>
          <cell r="M33" t="str">
            <v>0|0|用于餐厅装饰照明使用灯具|无||</v>
          </cell>
        </row>
        <row r="34">
          <cell r="B34" t="str">
            <v>不锈钢屏风</v>
          </cell>
          <cell r="C34" t="str">
            <v>9403200000</v>
          </cell>
          <cell r="D34">
            <v>0</v>
          </cell>
          <cell r="E34">
            <v>0</v>
          </cell>
          <cell r="F34" t="str">
            <v>用于装饰的铁质屏风架含玻璃</v>
          </cell>
          <cell r="G34" t="str">
            <v>不锈钢、玻璃</v>
          </cell>
          <cell r="H34" t="str">
            <v>无</v>
          </cell>
          <cell r="I34" t="str">
            <v>3970*1020</v>
          </cell>
          <cell r="J34" t="str">
            <v>3970*1020MM</v>
          </cell>
        </row>
        <row r="34">
          <cell r="L34" t="str">
            <v>佛山市顺德区</v>
          </cell>
          <cell r="M34" t="str">
            <v>0|0|用于装饰的铁质屏风架含玻璃|不锈钢、玻璃|无|3970*1020MM|</v>
          </cell>
        </row>
        <row r="35">
          <cell r="B35" t="str">
            <v>壁炉</v>
          </cell>
          <cell r="C35" t="str">
            <v>9405429000</v>
          </cell>
          <cell r="D35">
            <v>0</v>
          </cell>
          <cell r="E35">
            <v>0</v>
          </cell>
          <cell r="F35" t="str">
            <v>内置LED发光装置及雾化器，模拟火焰效果，无加热功能，用于室内照明</v>
          </cell>
          <cell r="G35" t="str">
            <v>无品牌</v>
          </cell>
        </row>
        <row r="35">
          <cell r="L35" t="str">
            <v>浙江省温州市</v>
          </cell>
          <cell r="M35" t="str">
            <v>0|0|内置LED发光装置及雾化器，模拟火焰效果，无加热功能，用于室内照明|无品牌||</v>
          </cell>
        </row>
        <row r="36">
          <cell r="B36" t="str">
            <v>工作服</v>
          </cell>
          <cell r="C36" t="str">
            <v>6103320000</v>
          </cell>
          <cell r="D36">
            <v>0</v>
          </cell>
          <cell r="E36">
            <v>0</v>
          </cell>
          <cell r="F36" t="str">
            <v>钩编</v>
          </cell>
          <cell r="G36" t="str">
            <v>上衣</v>
          </cell>
          <cell r="H36" t="str">
            <v>男式</v>
          </cell>
        </row>
        <row r="36">
          <cell r="J36" t="str">
            <v>100%纯棉|是|无</v>
          </cell>
          <cell r="K36" t="str">
            <v>无|XL</v>
          </cell>
          <cell r="L36" t="str">
            <v>广东省广州市</v>
          </cell>
          <cell r="M36" t="str">
            <v>0|0|钩编|上衣|男式|100%纯棉|是|无|无|XL</v>
          </cell>
        </row>
        <row r="37">
          <cell r="B37" t="str">
            <v>地弹簧门</v>
          </cell>
          <cell r="C37" t="str">
            <v>7308300000</v>
          </cell>
          <cell r="D37">
            <v>0</v>
          </cell>
          <cell r="E37">
            <v>0</v>
          </cell>
          <cell r="F37" t="str">
            <v>用于餐厅门</v>
          </cell>
          <cell r="G37" t="str">
            <v>不锈钢、玻璃</v>
          </cell>
          <cell r="H37" t="str">
            <v>门</v>
          </cell>
        </row>
        <row r="37">
          <cell r="L37" t="str">
            <v>山东省临沂市</v>
          </cell>
          <cell r="M37" t="str">
            <v>0|0|用于餐厅门|不锈钢、玻璃|门|</v>
          </cell>
        </row>
        <row r="38">
          <cell r="B38" t="str">
            <v>LED显示屏</v>
          </cell>
          <cell r="C38" t="str">
            <v>8531200000</v>
          </cell>
          <cell r="D38">
            <v>0</v>
          </cell>
          <cell r="E38">
            <v>0</v>
          </cell>
          <cell r="F38" t="str">
            <v>用于餐厅装饰的LED幕布墙</v>
          </cell>
          <cell r="G38" t="str">
            <v>采用发光二极管技术通过PN结施加相应电压从而发光</v>
          </cell>
          <cell r="H38" t="str">
            <v>无</v>
          </cell>
          <cell r="I38" t="str">
            <v>P2.5</v>
          </cell>
        </row>
        <row r="38">
          <cell r="K38" t="str">
            <v>5260*2540MM</v>
          </cell>
          <cell r="L38" t="str">
            <v>深圳市</v>
          </cell>
          <cell r="M38" t="str">
            <v>0|0|用于餐厅装饰的LED幕布墙|采用发光二极管技术通过PN结施加相应电压从而发光|无|5260*2540MM</v>
          </cell>
        </row>
        <row r="39">
          <cell r="B39" t="str">
            <v>人造石英石板材</v>
          </cell>
          <cell r="C39" t="str">
            <v>9403892000</v>
          </cell>
          <cell r="D39">
            <v>0</v>
          </cell>
          <cell r="E39">
            <v>0</v>
          </cell>
          <cell r="F39" t="str">
            <v>配套金属结构自助餐台使用</v>
          </cell>
          <cell r="G39" t="str">
            <v>人造石英石</v>
          </cell>
          <cell r="H39" t="str">
            <v>无品牌</v>
          </cell>
        </row>
        <row r="39">
          <cell r="J39" t="str">
            <v>1600*3200</v>
          </cell>
        </row>
        <row r="39">
          <cell r="L39" t="str">
            <v>广东省云浮市</v>
          </cell>
          <cell r="M39" t="str">
            <v>0|0|配套金属结构自助餐台使用|人造石英石|无品牌|1600*3200|</v>
          </cell>
        </row>
        <row r="40">
          <cell r="B40" t="str">
            <v>自助餐台</v>
          </cell>
          <cell r="C40" t="str">
            <v>8419810000</v>
          </cell>
          <cell r="D40">
            <v>0</v>
          </cell>
          <cell r="E40">
            <v>0</v>
          </cell>
          <cell r="F40" t="str">
            <v>金属框架配石质台面，配有不锈钢餐槽及保温系统</v>
          </cell>
          <cell r="G40" t="str">
            <v>无品牌</v>
          </cell>
          <cell r="H40" t="str">
            <v>无型号</v>
          </cell>
        </row>
        <row r="40">
          <cell r="L40" t="str">
            <v>广东省广州市</v>
          </cell>
          <cell r="M40" t="str">
            <v>0|0|金属框架配石质台面，配有不锈钢餐槽及保温系统|无品牌|无型号|</v>
          </cell>
        </row>
        <row r="41">
          <cell r="B41" t="str">
            <v>金属蜂窝板</v>
          </cell>
          <cell r="C41" t="str">
            <v>7326909000</v>
          </cell>
          <cell r="D41">
            <v>0</v>
          </cell>
          <cell r="E41">
            <v>0</v>
          </cell>
          <cell r="F41" t="str">
            <v>非工业用</v>
          </cell>
          <cell r="G41" t="str">
            <v>外层不锈钢板，内层铝蜂窝芯</v>
          </cell>
          <cell r="H41" t="str">
            <v>切割成型并封边</v>
          </cell>
        </row>
        <row r="41">
          <cell r="L41" t="str">
            <v>广东省佛山市</v>
          </cell>
          <cell r="M41" t="str">
            <v>0|0|非工业用|外层不锈钢板，内层铝蜂窝芯|切割成型并封边|</v>
          </cell>
        </row>
        <row r="42">
          <cell r="B42" t="str">
            <v>玻璃马赛克</v>
          </cell>
          <cell r="C42" t="str">
            <v>7016100000</v>
          </cell>
          <cell r="D42">
            <v>0</v>
          </cell>
          <cell r="E42">
            <v>0</v>
          </cell>
          <cell r="F42" t="str">
            <v>室内外墙面及地面装饰</v>
          </cell>
          <cell r="G42" t="str">
            <v>原片经切割后模具制作</v>
          </cell>
          <cell r="H42" t="str">
            <v>马赛克砖</v>
          </cell>
        </row>
        <row r="42">
          <cell r="L42" t="str">
            <v>广东省佛山市</v>
          </cell>
          <cell r="M42" t="str">
            <v>0|0|室内外墙面及地面装饰|原片经切割后模具制作|马赛克砖|</v>
          </cell>
        </row>
        <row r="43">
          <cell r="B43" t="str">
            <v>仿真植物花墙</v>
          </cell>
          <cell r="C43" t="str">
            <v>6702100000</v>
          </cell>
          <cell r="D43">
            <v>0</v>
          </cell>
          <cell r="E43">
            <v>0</v>
          </cell>
          <cell r="F43" t="str">
            <v>塑料+织物，固定于网架上，用于餐厅室内墙面装饰</v>
          </cell>
        </row>
        <row r="43">
          <cell r="L43" t="str">
            <v>广东省广州市</v>
          </cell>
          <cell r="M43" t="str">
            <v>0|0|塑料+织物，固定于网架上，用于餐厅室内墙面装饰||</v>
          </cell>
        </row>
        <row r="44">
          <cell r="B44" t="str">
            <v>不锈钢火锅</v>
          </cell>
          <cell r="C44" t="str">
            <v>7323930000</v>
          </cell>
          <cell r="D44">
            <v>0</v>
          </cell>
          <cell r="E44">
            <v>0</v>
          </cell>
          <cell r="F44" t="str">
            <v>餐桌使用</v>
          </cell>
          <cell r="G44" t="str">
            <v>不锈钢</v>
          </cell>
          <cell r="H44" t="str">
            <v>非搪瓷加工</v>
          </cell>
        </row>
        <row r="44">
          <cell r="L44" t="str">
            <v>广东省潮州市</v>
          </cell>
          <cell r="M44" t="str">
            <v>0|0|餐桌使用|不锈钢|非搪瓷加工|</v>
          </cell>
        </row>
        <row r="45">
          <cell r="B45" t="str">
            <v>椅子</v>
          </cell>
          <cell r="C45" t="str">
            <v>9401719000</v>
          </cell>
          <cell r="D45">
            <v>0</v>
          </cell>
          <cell r="E45">
            <v>0</v>
          </cell>
          <cell r="F45" t="str">
            <v>用于餐厅及酒吧等室内座位</v>
          </cell>
          <cell r="G45" t="str">
            <v>人造皮革软垫</v>
          </cell>
          <cell r="H45" t="str">
            <v>金属框架</v>
          </cell>
        </row>
        <row r="45">
          <cell r="J45" t="str">
            <v>有装软垫</v>
          </cell>
          <cell r="K45" t="str">
            <v>无品牌</v>
          </cell>
          <cell r="L45" t="str">
            <v>广东省佛山市</v>
          </cell>
          <cell r="M45" t="str">
            <v>0|0|用于餐厅及酒吧等室内座位|人造皮革软垫|金属框架|有装软垫|无品牌</v>
          </cell>
        </row>
        <row r="46">
          <cell r="B46" t="str">
            <v>汤桶</v>
          </cell>
          <cell r="C46" t="str">
            <v>7323930000</v>
          </cell>
          <cell r="D46">
            <v>0</v>
          </cell>
          <cell r="E46">
            <v>0</v>
          </cell>
          <cell r="F46" t="str">
            <v>厨房后厨使用器具</v>
          </cell>
          <cell r="G46" t="str">
            <v>不锈钢</v>
          </cell>
          <cell r="H46" t="str">
            <v>非搪瓷加工</v>
          </cell>
        </row>
        <row r="46">
          <cell r="L46" t="str">
            <v>广东省佛山市</v>
          </cell>
          <cell r="M46" t="str">
            <v>0|0|厨房后厨使用器具|不锈钢|非搪瓷加工|</v>
          </cell>
        </row>
        <row r="47">
          <cell r="B47" t="str">
            <v>地膜</v>
          </cell>
          <cell r="C47" t="str">
            <v>3920999090</v>
          </cell>
          <cell r="D47">
            <v>0</v>
          </cell>
          <cell r="E47">
            <v>0</v>
          </cell>
          <cell r="F47" t="str">
            <v>PVC</v>
          </cell>
          <cell r="G47" t="str">
            <v>有色卷材薄膜</v>
          </cell>
          <cell r="H47" t="str">
            <v>不与其他材料合制</v>
          </cell>
          <cell r="I47" t="str">
            <v>不是泡沫塑料</v>
          </cell>
          <cell r="J47" t="str">
            <v>装修施工时地板保护使用|卷材长50米|无品牌</v>
          </cell>
        </row>
        <row r="47">
          <cell r="L47" t="str">
            <v>广东省广州市</v>
          </cell>
          <cell r="M47" t="str">
            <v>0|0|PVC|有色卷材薄膜|不与其他材料合制|装修施工时地板保护使用|卷材长50米|无品牌|</v>
          </cell>
        </row>
        <row r="48">
          <cell r="B48" t="str">
            <v>锅具</v>
          </cell>
          <cell r="C48" t="str">
            <v>7323930000</v>
          </cell>
          <cell r="D48">
            <v>0</v>
          </cell>
          <cell r="E48">
            <v>0</v>
          </cell>
          <cell r="F48" t="str">
            <v>餐桌用</v>
          </cell>
          <cell r="G48" t="str">
            <v>不锈钢</v>
          </cell>
          <cell r="H48" t="str">
            <v>未搪瓷</v>
          </cell>
        </row>
        <row r="48">
          <cell r="J48" t="str">
            <v>无品牌</v>
          </cell>
        </row>
        <row r="48">
          <cell r="L48" t="str">
            <v>广东省广州市</v>
          </cell>
          <cell r="M48" t="str">
            <v>0|0|餐桌用|不锈钢|未搪瓷|无品牌|</v>
          </cell>
        </row>
        <row r="49">
          <cell r="B49" t="str">
            <v>切菜机</v>
          </cell>
          <cell r="C49" t="str">
            <v>8438600000</v>
          </cell>
          <cell r="D49">
            <v>0</v>
          </cell>
          <cell r="E49">
            <v>0</v>
          </cell>
          <cell r="F49" t="str">
            <v>用于厨房切割蔬菜</v>
          </cell>
          <cell r="G49" t="str">
            <v>无品牌</v>
          </cell>
          <cell r="H49" t="str">
            <v>无型号</v>
          </cell>
        </row>
        <row r="49">
          <cell r="L49" t="str">
            <v>河北省邢台市</v>
          </cell>
          <cell r="M49" t="str">
            <v>0|0|用于厨房切割蔬菜|无品牌|无型号|</v>
          </cell>
        </row>
        <row r="50">
          <cell r="B50" t="str">
            <v>搅拌机</v>
          </cell>
          <cell r="C50" t="str">
            <v>8509409000</v>
          </cell>
          <cell r="D50">
            <v>0</v>
          </cell>
          <cell r="E50">
            <v>0</v>
          </cell>
          <cell r="F50" t="str">
            <v>是家用</v>
          </cell>
          <cell r="G50" t="str">
            <v>83千克</v>
          </cell>
          <cell r="H50" t="str">
            <v>2200W</v>
          </cell>
          <cell r="I50" t="str">
            <v>无品牌</v>
          </cell>
          <cell r="J50" t="str">
            <v>平底款200公斤盖</v>
          </cell>
        </row>
        <row r="50">
          <cell r="L50" t="str">
            <v>山东省禹城市</v>
          </cell>
          <cell r="M50" t="str">
            <v>0|0|是家用|83千克|2200W|平底款200公斤盖|</v>
          </cell>
        </row>
        <row r="51">
          <cell r="B51" t="str">
            <v>五金桌脚</v>
          </cell>
          <cell r="C51" t="str">
            <v>9403990000</v>
          </cell>
          <cell r="D51">
            <v>0</v>
          </cell>
          <cell r="E51">
            <v>0</v>
          </cell>
          <cell r="F51" t="str">
            <v>用于支撑桌子安装用</v>
          </cell>
          <cell r="G51" t="str">
            <v>不锈钢材质</v>
          </cell>
          <cell r="H51" t="str">
            <v>十字</v>
          </cell>
        </row>
        <row r="51">
          <cell r="L51" t="str">
            <v>广东省佛山市</v>
          </cell>
          <cell r="M51" t="str">
            <v>0|0|用于支撑桌子安装用|不锈钢材质|十字|</v>
          </cell>
        </row>
        <row r="52">
          <cell r="B52" t="str">
            <v>不锈钢操作台</v>
          </cell>
          <cell r="C52" t="str">
            <v>9403200000</v>
          </cell>
          <cell r="D52">
            <v>0</v>
          </cell>
          <cell r="E52">
            <v>0</v>
          </cell>
          <cell r="F52" t="str">
            <v>用于餐饮厨房后厨操作台面</v>
          </cell>
          <cell r="G52" t="str">
            <v>不锈钢</v>
          </cell>
          <cell r="H52" t="str">
            <v>无品牌</v>
          </cell>
        </row>
        <row r="52">
          <cell r="J52" t="str">
            <v>1250*350*600</v>
          </cell>
        </row>
        <row r="52">
          <cell r="L52" t="str">
            <v>广东省广州市</v>
          </cell>
          <cell r="M52" t="str">
            <v>0|0|用于餐饮厨房后厨操作台面|不锈钢|无品牌|1250*350*600|</v>
          </cell>
        </row>
        <row r="53">
          <cell r="B53" t="str">
            <v>亚克力板</v>
          </cell>
          <cell r="C53" t="str">
            <v>3920510000</v>
          </cell>
          <cell r="D53">
            <v>0</v>
          </cell>
          <cell r="E53">
            <v>0</v>
          </cell>
          <cell r="F53" t="str">
            <v>用于隔断制作</v>
          </cell>
          <cell r="G53" t="str">
            <v>透明</v>
          </cell>
          <cell r="H53" t="str">
            <v>PMMA</v>
          </cell>
        </row>
        <row r="53">
          <cell r="J53" t="str">
            <v>无品牌</v>
          </cell>
          <cell r="K53" t="str">
            <v>2440*1220*10mm</v>
          </cell>
          <cell r="L53" t="str">
            <v>广东省潮州市</v>
          </cell>
          <cell r="M53" t="str">
            <v>0|0|用于隔断制作|透明|PMMA|无品牌|2440*1220*10mm</v>
          </cell>
        </row>
        <row r="54">
          <cell r="B54" t="str">
            <v>隔断</v>
          </cell>
          <cell r="C54" t="str">
            <v>9403200000</v>
          </cell>
          <cell r="D54">
            <v>0</v>
          </cell>
          <cell r="E54">
            <v>0</v>
          </cell>
          <cell r="F54" t="str">
            <v>用于餐厅包厢门及空间隔断装饰</v>
          </cell>
          <cell r="G54" t="str">
            <v>不锈钢主题搭配金属装饰条</v>
          </cell>
          <cell r="H54" t="str">
            <v>无品牌</v>
          </cell>
        </row>
        <row r="54">
          <cell r="J54" t="str">
            <v>1681*2674mm</v>
          </cell>
        </row>
        <row r="54">
          <cell r="L54" t="str">
            <v>广东省广州市</v>
          </cell>
          <cell r="M54" t="str">
            <v>0|0|用于餐厅包厢门及空间隔断装饰|不锈钢主题搭配金属装饰条|无品牌|1681*2674mm|</v>
          </cell>
        </row>
        <row r="55">
          <cell r="B55" t="str">
            <v>置物架</v>
          </cell>
          <cell r="C55" t="str">
            <v>9403200000</v>
          </cell>
          <cell r="D55">
            <v>0</v>
          </cell>
          <cell r="E55">
            <v>0</v>
          </cell>
          <cell r="F55" t="str">
            <v>用于厨房、餐饮后厨及储物间放置物品</v>
          </cell>
          <cell r="G55" t="str">
            <v>不锈钢</v>
          </cell>
          <cell r="H55" t="str">
            <v>无品牌</v>
          </cell>
        </row>
        <row r="55">
          <cell r="J55" t="str">
            <v>1213*1800mm</v>
          </cell>
        </row>
        <row r="55">
          <cell r="L55" t="str">
            <v>广东省中山市</v>
          </cell>
          <cell r="M55" t="str">
            <v>0|0|用于厨房、餐饮后厨及储物间放置物品|不锈钢|无品牌|1213*1800mm|</v>
          </cell>
        </row>
        <row r="56">
          <cell r="B56" t="str">
            <v>焊机</v>
          </cell>
          <cell r="C56" t="str">
            <v>8515390000</v>
          </cell>
          <cell r="D56">
            <v>0</v>
          </cell>
          <cell r="E56">
            <v>0</v>
          </cell>
          <cell r="F56" t="str">
            <v>电弧焊接原理（氩弧焊TIG方式）</v>
          </cell>
          <cell r="G56" t="str">
            <v>否，手动操作</v>
          </cell>
          <cell r="H56" t="str">
            <v>无品牌</v>
          </cell>
        </row>
        <row r="56">
          <cell r="J56" t="str">
            <v>TIG200SE</v>
          </cell>
        </row>
        <row r="56">
          <cell r="L56" t="str">
            <v>江苏省常州市</v>
          </cell>
          <cell r="M56" t="str">
            <v>0|0|电弧焊接原理（氩弧焊TIG方式）|否，手动操作|无品牌|TIG200SE|</v>
          </cell>
        </row>
        <row r="57">
          <cell r="B57" t="str">
            <v>燃气煮面炉连柜座</v>
          </cell>
          <cell r="C57" t="str">
            <v>8419810000</v>
          </cell>
          <cell r="D57">
            <v>0</v>
          </cell>
          <cell r="E57">
            <v>0</v>
          </cell>
          <cell r="F57" t="str">
            <v>用于餐饮厨房煮制面条、食品加热及保温</v>
          </cell>
          <cell r="G57" t="str">
            <v>无品牌</v>
          </cell>
          <cell r="H57" t="str">
            <v>无型号</v>
          </cell>
        </row>
        <row r="57">
          <cell r="L57" t="str">
            <v>广东省广州市</v>
          </cell>
          <cell r="M57" t="str">
            <v>0|0|用于餐饮厨房煮制面条、食品加热及保温|无品牌|无型号|</v>
          </cell>
        </row>
        <row r="58">
          <cell r="B58" t="str">
            <v>人造石英石台面</v>
          </cell>
          <cell r="C58" t="str">
            <v>9403892000</v>
          </cell>
          <cell r="D58">
            <v>0</v>
          </cell>
          <cell r="E58">
            <v>0</v>
          </cell>
          <cell r="F58" t="str">
            <v>加工为供餐厅使用的台面</v>
          </cell>
          <cell r="G58" t="str">
            <v>无品牌</v>
          </cell>
          <cell r="H58" t="str">
            <v>无型号</v>
          </cell>
        </row>
        <row r="58">
          <cell r="L58" t="str">
            <v>广东省广州市</v>
          </cell>
          <cell r="M58" t="str">
            <v>0|0|加工为供餐厅使用的台面|无品牌|无型号|</v>
          </cell>
        </row>
        <row r="59">
          <cell r="B59" t="str">
            <v>玻璃瓶</v>
          </cell>
          <cell r="C59" t="str">
            <v>7010902000</v>
          </cell>
          <cell r="D59">
            <v>0</v>
          </cell>
          <cell r="E59">
            <v>0</v>
          </cell>
          <cell r="F59" t="str">
            <v>用于装饰的空酒瓶</v>
          </cell>
          <cell r="G59" t="str">
            <v>750ml</v>
          </cell>
        </row>
        <row r="59">
          <cell r="L59" t="str">
            <v>江苏省徐州市</v>
          </cell>
          <cell r="M59" t="str">
            <v>0|0|用于装饰的空酒瓶|750ml||</v>
          </cell>
        </row>
        <row r="60">
          <cell r="B60" t="str">
            <v>人造石英石制品</v>
          </cell>
          <cell r="C60" t="str">
            <v>9403892000</v>
          </cell>
          <cell r="D60">
            <v>0</v>
          </cell>
          <cell r="E60">
            <v>0</v>
          </cell>
          <cell r="F60" t="str">
            <v>配套金属结构自助餐台使用</v>
          </cell>
          <cell r="G60" t="str">
            <v>人造石英石</v>
          </cell>
          <cell r="H60" t="str">
            <v>无品牌</v>
          </cell>
        </row>
        <row r="60">
          <cell r="J60" t="str">
            <v>1600*3200</v>
          </cell>
        </row>
        <row r="60">
          <cell r="L60" t="str">
            <v>福建省泉州市</v>
          </cell>
          <cell r="M60" t="str">
            <v>0|0|配套金属结构自助餐台使用|人造石英石|无品牌|1600*3200|</v>
          </cell>
        </row>
        <row r="61">
          <cell r="B61" t="str">
            <v>餐边柜</v>
          </cell>
          <cell r="C61" t="str">
            <v>9403200000</v>
          </cell>
          <cell r="D61">
            <v>0</v>
          </cell>
          <cell r="E61">
            <v>0</v>
          </cell>
          <cell r="F61" t="str">
            <v>用于餐厅储物、摆放餐具及装饰</v>
          </cell>
          <cell r="G61" t="str">
            <v>铁艺（金属结构）</v>
          </cell>
          <cell r="H61" t="str">
            <v>无品牌</v>
          </cell>
        </row>
        <row r="61">
          <cell r="J61" t="str">
            <v>1720*580*1220mm</v>
          </cell>
        </row>
        <row r="61">
          <cell r="L61" t="str">
            <v>福建省泉州市</v>
          </cell>
          <cell r="M61" t="str">
            <v>0|0|用于餐厅储物、摆放餐具及装饰|铁艺（金属结构）|无品牌|1720*580*1220mm|</v>
          </cell>
        </row>
        <row r="62">
          <cell r="B62" t="str">
            <v>烧烤网</v>
          </cell>
          <cell r="C62" t="str">
            <v>7323990000</v>
          </cell>
          <cell r="D62">
            <v>0</v>
          </cell>
          <cell r="E62">
            <v>0</v>
          </cell>
          <cell r="F62" t="str">
            <v>餐厅使用，用于烧烤食品的支撑与加热</v>
          </cell>
          <cell r="G62" t="str">
            <v>铁（镀锌铁丝）</v>
          </cell>
          <cell r="H62" t="str">
            <v>未搪瓷</v>
          </cell>
        </row>
        <row r="62">
          <cell r="J62" t="str">
            <v>无品牌</v>
          </cell>
        </row>
        <row r="62">
          <cell r="L62" t="str">
            <v>江苏省徐州市</v>
          </cell>
          <cell r="M62" t="str">
            <v>0|0|餐厅使用，用于烧烤食品的支撑与加热|铁（镀锌铁丝）|未搪瓷|无品牌|</v>
          </cell>
        </row>
        <row r="63">
          <cell r="B63" t="str">
            <v>椅子</v>
          </cell>
          <cell r="C63" t="str">
            <v>9401719000</v>
          </cell>
          <cell r="D63">
            <v>0</v>
          </cell>
          <cell r="E63">
            <v>0</v>
          </cell>
          <cell r="F63" t="str">
            <v>用于餐厅及酒吧等室内座位</v>
          </cell>
          <cell r="G63" t="str">
            <v>人造皮革软垫</v>
          </cell>
          <cell r="H63" t="str">
            <v>金属框架</v>
          </cell>
        </row>
        <row r="63">
          <cell r="J63" t="str">
            <v>有装软垫</v>
          </cell>
          <cell r="K63" t="str">
            <v>无品牌</v>
          </cell>
          <cell r="L63" t="str">
            <v>河北省廊坊市</v>
          </cell>
          <cell r="M63" t="str">
            <v>0|0|用于餐厅及酒吧等室内座位|人造皮革软垫|金属框架|有装软垫|无品牌</v>
          </cell>
        </row>
        <row r="64">
          <cell r="B64" t="str">
            <v>陶瓷盘</v>
          </cell>
          <cell r="C64" t="str">
            <v>6911101900</v>
          </cell>
          <cell r="D64">
            <v>0</v>
          </cell>
          <cell r="E64">
            <v>0</v>
          </cell>
          <cell r="F64" t="str">
            <v>瓷制</v>
          </cell>
          <cell r="G64" t="str">
            <v>餐具</v>
          </cell>
          <cell r="H64" t="str">
            <v>否</v>
          </cell>
        </row>
        <row r="64">
          <cell r="J64" t="str">
            <v>无品牌</v>
          </cell>
        </row>
        <row r="64">
          <cell r="L64" t="str">
            <v>广东省潮州市</v>
          </cell>
          <cell r="M64" t="str">
            <v>0|0|瓷制|餐具|否|无品牌|</v>
          </cell>
        </row>
        <row r="65">
          <cell r="B65" t="str">
            <v>机柜</v>
          </cell>
          <cell r="C65" t="str">
            <v>940320000</v>
          </cell>
          <cell r="D65">
            <v>0</v>
          </cell>
          <cell r="E65">
            <v>0</v>
          </cell>
          <cell r="F65" t="str">
            <v>用于包厢及餐厅场所储物设备</v>
          </cell>
          <cell r="G65" t="str">
            <v>不锈钢+金属装饰条+岩板</v>
          </cell>
          <cell r="H65" t="str">
            <v>无品牌</v>
          </cell>
        </row>
        <row r="65">
          <cell r="J65" t="str">
            <v>600*450*900</v>
          </cell>
        </row>
        <row r="65">
          <cell r="L65" t="str">
            <v>江苏省苏州市</v>
          </cell>
          <cell r="M65" t="str">
            <v>0|0|用于包厢及餐厅场所储物设备|不锈钢+金属装饰条+岩板|无品牌|600*450*900|</v>
          </cell>
        </row>
        <row r="66">
          <cell r="B66" t="str">
            <v>玻璃碗</v>
          </cell>
          <cell r="C66" t="str">
            <v>7013370000</v>
          </cell>
          <cell r="D66">
            <v>0</v>
          </cell>
          <cell r="E66">
            <v>0</v>
          </cell>
          <cell r="F66" t="str">
            <v>供餐桌使用，用于盛放食品|否</v>
          </cell>
          <cell r="G66" t="str">
            <v>碗|不适用</v>
          </cell>
          <cell r="H66" t="str">
            <v>直径150mm，高60mm|无型号</v>
          </cell>
        </row>
        <row r="66">
          <cell r="J66" t="str">
            <v>无品牌|机械成型</v>
          </cell>
        </row>
        <row r="66">
          <cell r="L66" t="str">
            <v>天津市</v>
          </cell>
          <cell r="M66" t="str">
            <v>0|0|供餐桌使用，用于盛放食品|否|碗|不适用|直径150mm，高60mm|无型号|无品牌|机械成型|</v>
          </cell>
        </row>
        <row r="67">
          <cell r="B67" t="str">
            <v>竹蒸笼</v>
          </cell>
          <cell r="C67" t="str">
            <v>4602110000</v>
          </cell>
          <cell r="D67">
            <v>0</v>
          </cell>
          <cell r="E67">
            <v>0</v>
          </cell>
          <cell r="F67" t="str">
            <v>竹制品</v>
          </cell>
          <cell r="G67" t="str">
            <v>竹制蒸笼，由天然竹条手工编制而成</v>
          </cell>
        </row>
        <row r="67">
          <cell r="L67" t="str">
            <v>广东省东莞市</v>
          </cell>
          <cell r="M67" t="str">
            <v>0|0|竹制品|竹制蒸笼，由天然竹条手工编制而成||</v>
          </cell>
        </row>
        <row r="68">
          <cell r="B68" t="str">
            <v>餐具</v>
          </cell>
          <cell r="C68" t="str">
            <v>7323930000</v>
          </cell>
          <cell r="D68">
            <v>0</v>
          </cell>
          <cell r="E68">
            <v>0</v>
          </cell>
          <cell r="F68" t="str">
            <v>餐桌使用的不锈钢搁盘</v>
          </cell>
          <cell r="G68" t="str">
            <v>不锈钢</v>
          </cell>
          <cell r="H68" t="str">
            <v>未搪瓷</v>
          </cell>
        </row>
        <row r="68">
          <cell r="J68" t="str">
            <v>无品牌</v>
          </cell>
        </row>
        <row r="68">
          <cell r="L68" t="str">
            <v>广东省潮州市</v>
          </cell>
          <cell r="M68" t="str">
            <v>0|0|餐桌使用的不锈钢搁盘|不锈钢|未搪瓷|无品牌|</v>
          </cell>
        </row>
        <row r="69">
          <cell r="B69" t="str">
            <v>不锈钢餐具</v>
          </cell>
          <cell r="C69" t="str">
            <v>7323930000</v>
          </cell>
          <cell r="D69">
            <v>0</v>
          </cell>
          <cell r="E69">
            <v>0</v>
          </cell>
          <cell r="F69" t="str">
            <v>餐桌使用的不锈钢刀、叉等器具</v>
          </cell>
          <cell r="G69" t="str">
            <v>不锈钢</v>
          </cell>
          <cell r="H69" t="str">
            <v>未搪瓷</v>
          </cell>
        </row>
        <row r="69">
          <cell r="J69" t="str">
            <v>无品牌</v>
          </cell>
        </row>
        <row r="69">
          <cell r="L69" t="str">
            <v>广东省潮州市</v>
          </cell>
          <cell r="M69" t="str">
            <v>0|0|餐桌使用的不锈钢刀、叉等器具|不锈钢|未搪瓷|无品牌|</v>
          </cell>
        </row>
        <row r="70">
          <cell r="B70" t="str">
            <v>陶瓷炖盅</v>
          </cell>
          <cell r="C70" t="str">
            <v>6911101900</v>
          </cell>
          <cell r="D70">
            <v>0</v>
          </cell>
          <cell r="E70">
            <v>0</v>
          </cell>
          <cell r="F70" t="str">
            <v>瓷制</v>
          </cell>
          <cell r="G70" t="str">
            <v>厨房用具（用于炖煮食材）</v>
          </cell>
          <cell r="H70" t="str">
            <v>否</v>
          </cell>
        </row>
        <row r="70">
          <cell r="J70" t="str">
            <v>无品牌</v>
          </cell>
        </row>
        <row r="70">
          <cell r="L70" t="str">
            <v>广东省广州市</v>
          </cell>
          <cell r="M70" t="str">
            <v>0|0|瓷制|厨房用具（用于炖煮食材）|否|无品牌|</v>
          </cell>
        </row>
        <row r="71">
          <cell r="B71" t="str">
            <v>密胺餐具</v>
          </cell>
          <cell r="C71" t="str">
            <v>3924100000</v>
          </cell>
          <cell r="D71">
            <v>0</v>
          </cell>
          <cell r="E71">
            <v>0</v>
          </cell>
          <cell r="F71" t="str">
            <v>用于盛装食材的容器</v>
          </cell>
          <cell r="G71" t="str">
            <v>密胺</v>
          </cell>
          <cell r="H71" t="str">
            <v>无品牌</v>
          </cell>
          <cell r="I71">
            <v>1810</v>
          </cell>
          <cell r="J71" t="str">
            <v>无型号</v>
          </cell>
        </row>
        <row r="71">
          <cell r="L71" t="str">
            <v>广东省佛山市</v>
          </cell>
          <cell r="M71" t="str">
            <v>0|0|用于盛装食材的容器|密胺|无品牌|无型号|</v>
          </cell>
        </row>
        <row r="72">
          <cell r="B72" t="str">
            <v>灯带</v>
          </cell>
          <cell r="C72" t="str">
            <v>9405429000</v>
          </cell>
          <cell r="D72">
            <v>0</v>
          </cell>
          <cell r="E72">
            <v>0</v>
          </cell>
          <cell r="F72" t="str">
            <v>LED 灯带，DC/AC 驱动，可弯曲安装，用于室内装饰照明</v>
          </cell>
          <cell r="G72" t="str">
            <v>无品牌</v>
          </cell>
        </row>
        <row r="72">
          <cell r="L72" t="str">
            <v>广东省中山市</v>
          </cell>
          <cell r="M72" t="str">
            <v>0|0|LED 灯带，DC/AC 驱动，可弯曲安装，用于室内装饰照明|无品牌||</v>
          </cell>
        </row>
        <row r="73">
          <cell r="B73" t="str">
            <v>不锈钢护栏</v>
          </cell>
          <cell r="C73" t="str">
            <v>7308900000</v>
          </cell>
          <cell r="D73">
            <v>0</v>
          </cell>
          <cell r="E73">
            <v>0</v>
          </cell>
          <cell r="F73" t="str">
            <v>用于建筑及室内空间的隔离、防护及支撑用途</v>
          </cell>
          <cell r="G73" t="str">
            <v>不锈钢</v>
          </cell>
          <cell r="H73" t="str">
            <v>金属结构件（护栏/栏杆）</v>
          </cell>
        </row>
        <row r="73">
          <cell r="L73" t="str">
            <v>广东省佛山市</v>
          </cell>
          <cell r="M73" t="str">
            <v>0|0|用于建筑及室内空间的隔离、防护及支撑用途|不锈钢|金属结构件（护栏/栏杆）|</v>
          </cell>
        </row>
        <row r="74">
          <cell r="B74" t="str">
            <v>窗帘</v>
          </cell>
          <cell r="C74" t="str">
            <v>6303920000</v>
          </cell>
          <cell r="D74">
            <v>0</v>
          </cell>
          <cell r="E74">
            <v>0</v>
          </cell>
          <cell r="F74" t="str">
            <v>窗帘，珠链拉伸</v>
          </cell>
          <cell r="G74" t="str">
            <v>机织</v>
          </cell>
          <cell r="H74" t="str">
            <v>100%聚酯纤维</v>
          </cell>
        </row>
        <row r="74">
          <cell r="L74" t="str">
            <v>广东省佛山市</v>
          </cell>
          <cell r="M74" t="str">
            <v>0|0|窗帘，珠链拉伸|机织|100%聚酯纤维|</v>
          </cell>
        </row>
        <row r="75">
          <cell r="B75" t="str">
            <v>长方盘</v>
          </cell>
          <cell r="C75" t="str">
            <v>3924100000</v>
          </cell>
          <cell r="D75">
            <v>0</v>
          </cell>
          <cell r="E75">
            <v>0</v>
          </cell>
          <cell r="F75" t="str">
            <v>餐桌用/盛放食物用</v>
          </cell>
          <cell r="G75" t="str">
            <v>密胺树脂</v>
          </cell>
          <cell r="H75" t="str">
            <v>无品牌</v>
          </cell>
        </row>
        <row r="75">
          <cell r="J75" t="str">
            <v>无型号</v>
          </cell>
        </row>
        <row r="75">
          <cell r="L75" t="str">
            <v>广东省东莞市</v>
          </cell>
          <cell r="M75" t="str">
            <v>0|0|餐桌用/盛放食物用|密胺树脂|无品牌|无型号|</v>
          </cell>
        </row>
        <row r="76">
          <cell r="B76" t="str">
            <v>小型饭团机</v>
          </cell>
          <cell r="C76" t="str">
            <v>8438800000</v>
          </cell>
          <cell r="D76">
            <v>0</v>
          </cell>
          <cell r="E76">
            <v>0</v>
          </cell>
          <cell r="F76" t="str">
            <v>米饭饭团成型成卷的食品加工</v>
          </cell>
          <cell r="G76" t="str">
            <v>无品牌</v>
          </cell>
          <cell r="H76" t="str">
            <v>MY-X2</v>
          </cell>
        </row>
        <row r="76">
          <cell r="L76" t="str">
            <v>广东省肇庆市</v>
          </cell>
          <cell r="M76" t="str">
            <v>0|0|米饭饭团成型成卷的食品加工|无品牌|MY-X2|</v>
          </cell>
        </row>
        <row r="77">
          <cell r="B77" t="str">
            <v>灯具</v>
          </cell>
          <cell r="C77" t="str">
            <v>9405110000</v>
          </cell>
          <cell r="D77">
            <v>0</v>
          </cell>
          <cell r="E77">
            <v>0</v>
          </cell>
          <cell r="F77" t="str">
            <v>电动照明，用于室内照明使用灯具</v>
          </cell>
          <cell r="G77" t="str">
            <v>无品牌</v>
          </cell>
        </row>
        <row r="77">
          <cell r="L77" t="str">
            <v>中山市</v>
          </cell>
          <cell r="M77" t="str">
            <v>0|0|电动照明，用于室内照明使用灯具|无品牌||</v>
          </cell>
        </row>
        <row r="78">
          <cell r="B78" t="str">
            <v>满天星吊灯</v>
          </cell>
          <cell r="C78" t="str">
            <v>9405110000</v>
          </cell>
          <cell r="D78">
            <v>0</v>
          </cell>
          <cell r="E78">
            <v>0</v>
          </cell>
          <cell r="F78" t="str">
            <v>用于餐厅装饰照明使用灯具</v>
          </cell>
        </row>
        <row r="78">
          <cell r="L78" t="str">
            <v>中山市</v>
          </cell>
          <cell r="M78" t="str">
            <v>0|0|用于餐厅装饰照明使用灯具||</v>
          </cell>
        </row>
        <row r="79">
          <cell r="B79" t="str">
            <v>陶瓷餐具</v>
          </cell>
          <cell r="C79" t="str">
            <v>6912001000</v>
          </cell>
          <cell r="D79">
            <v>0</v>
          </cell>
          <cell r="E79">
            <v>0</v>
          </cell>
          <cell r="F79" t="str">
            <v>陶制</v>
          </cell>
          <cell r="G79" t="str">
            <v>餐具</v>
          </cell>
          <cell r="H79" t="str">
            <v>无品牌</v>
          </cell>
        </row>
        <row r="79">
          <cell r="L79" t="str">
            <v>广东省东莞市</v>
          </cell>
          <cell r="M79" t="str">
            <v>0|0|陶制|餐具|无品牌|</v>
          </cell>
        </row>
        <row r="80">
          <cell r="B80" t="str">
            <v>音响设备</v>
          </cell>
          <cell r="C80" t="str">
            <v>8518500000</v>
          </cell>
          <cell r="D80">
            <v>0</v>
          </cell>
          <cell r="E80">
            <v>0</v>
          </cell>
          <cell r="F80" t="str">
            <v>低音单元、高音单元、分频器、箱体、接线柱</v>
          </cell>
          <cell r="G80" t="str">
            <v>无品牌</v>
          </cell>
          <cell r="H80" t="str">
            <v>无型号</v>
          </cell>
        </row>
        <row r="80">
          <cell r="L80" t="str">
            <v>广东省中山市</v>
          </cell>
          <cell r="M80" t="str">
            <v>0|0|低音单元、高音单元、分频器、箱体、接线柱|无品牌|无型号|</v>
          </cell>
        </row>
        <row r="81">
          <cell r="B81" t="str">
            <v>桌架</v>
          </cell>
          <cell r="C81" t="str">
            <v>9403990000</v>
          </cell>
          <cell r="D81">
            <v>0</v>
          </cell>
          <cell r="E81">
            <v>0</v>
          </cell>
          <cell r="F81" t="str">
            <v>餐桌支撑底座，用于连接并支撑桌面</v>
          </cell>
          <cell r="G81" t="str">
            <v>铁制</v>
          </cell>
          <cell r="H81" t="str">
            <v>筒状结构，⌀1100mm</v>
          </cell>
        </row>
        <row r="81">
          <cell r="L81" t="str">
            <v>广东省佛山市</v>
          </cell>
          <cell r="M81" t="str">
            <v>0|0|餐桌支撑底座，用于连接并支撑桌面|铁制|筒状结构，⌀1100mm|</v>
          </cell>
        </row>
        <row r="82">
          <cell r="B82" t="str">
            <v>上压肉杆</v>
          </cell>
          <cell r="C82" t="str">
            <v>8438900000</v>
          </cell>
          <cell r="D82">
            <v>0</v>
          </cell>
          <cell r="E82">
            <v>0</v>
          </cell>
          <cell r="F82" t="str">
            <v>用于切肉机压紧并固定冻肉，辅助切片机完成肉卷切削</v>
          </cell>
          <cell r="G82" t="str">
            <v>304不锈钢</v>
          </cell>
          <cell r="H82" t="str">
            <v>无规格</v>
          </cell>
        </row>
        <row r="82">
          <cell r="L82" t="str">
            <v>北京经济技术开发区</v>
          </cell>
          <cell r="M82" t="str">
            <v>0|0|用于切肉机压紧并固定冻肉，辅助切片机完成肉卷切削|304不锈钢|无规格|</v>
          </cell>
        </row>
        <row r="83">
          <cell r="B83" t="str">
            <v>下压肉杆</v>
          </cell>
          <cell r="C83" t="str">
            <v>8438900000</v>
          </cell>
          <cell r="D83">
            <v>0</v>
          </cell>
          <cell r="E83">
            <v>0</v>
          </cell>
          <cell r="F83" t="str">
            <v>用于切肉机压紧并固定冻肉，辅助切片机完成肉卷切削</v>
          </cell>
          <cell r="G83" t="str">
            <v>304不锈钢</v>
          </cell>
          <cell r="H83" t="str">
            <v>无规格</v>
          </cell>
        </row>
        <row r="83">
          <cell r="L83" t="str">
            <v>北京经济技术开发区</v>
          </cell>
          <cell r="M83" t="str">
            <v>0|0|用于切肉机压紧并固定冻肉，辅助切片机完成肉卷切削|304不锈钢|无规格|</v>
          </cell>
        </row>
        <row r="84">
          <cell r="B84" t="str">
            <v>烤网烤盘清洗机</v>
          </cell>
          <cell r="C84" t="str">
            <v>8422190000</v>
          </cell>
          <cell r="D84">
            <v>0</v>
          </cell>
          <cell r="E84">
            <v>0</v>
          </cell>
          <cell r="F84" t="str">
            <v>无品牌</v>
          </cell>
          <cell r="G84" t="str">
            <v>半自动烤网烤盘落地清洗机</v>
          </cell>
        </row>
        <row r="84">
          <cell r="L84" t="str">
            <v>山东省威海市</v>
          </cell>
          <cell r="M84" t="str">
            <v>0|0|无品牌|半自动烤网烤盘落地清洗机||</v>
          </cell>
        </row>
        <row r="85">
          <cell r="B85" t="str">
            <v>平开玻璃地弹簧门</v>
          </cell>
          <cell r="C85" t="str">
            <v>7308300000</v>
          </cell>
          <cell r="D85">
            <v>0</v>
          </cell>
          <cell r="E85">
            <v>0</v>
          </cell>
          <cell r="F85" t="str">
            <v>用于餐厅门</v>
          </cell>
          <cell r="G85" t="str">
            <v>不锈钢、玻璃</v>
          </cell>
          <cell r="H85" t="str">
            <v>门</v>
          </cell>
        </row>
        <row r="85">
          <cell r="L85" t="str">
            <v>山东省临沂市</v>
          </cell>
          <cell r="M85" t="str">
            <v>0|0|用于餐厅门|不锈钢、玻璃|门|</v>
          </cell>
        </row>
        <row r="86">
          <cell r="B86" t="str">
            <v>陶瓷盘子</v>
          </cell>
          <cell r="C86" t="str">
            <v>6911101900</v>
          </cell>
          <cell r="D86">
            <v>0</v>
          </cell>
          <cell r="E86">
            <v>0</v>
          </cell>
          <cell r="F86" t="str">
            <v>瓷制</v>
          </cell>
          <cell r="G86" t="str">
            <v>餐具，盘子</v>
          </cell>
          <cell r="H86" t="str">
            <v>非骨瓷</v>
          </cell>
        </row>
        <row r="86">
          <cell r="J86" t="str">
            <v>无品牌</v>
          </cell>
        </row>
        <row r="86">
          <cell r="L86" t="str">
            <v>广东省广州市</v>
          </cell>
          <cell r="M86" t="str">
            <v>0|0|瓷制|餐具，盘子|非骨瓷|无品牌|</v>
          </cell>
        </row>
        <row r="87">
          <cell r="B87" t="str">
            <v>仿真花草</v>
          </cell>
          <cell r="C87" t="str">
            <v>6702100000</v>
          </cell>
          <cell r="D87">
            <v>0</v>
          </cell>
          <cell r="E87">
            <v>0</v>
          </cell>
          <cell r="F87" t="str">
            <v>塑料/PE</v>
          </cell>
        </row>
        <row r="87">
          <cell r="L87" t="str">
            <v>宁夏回族自治区银川市</v>
          </cell>
          <cell r="M87" t="str">
            <v>0|0|塑料/PE||</v>
          </cell>
        </row>
        <row r="88">
          <cell r="B88" t="str">
            <v>薄饼架</v>
          </cell>
          <cell r="C88" t="str">
            <v>3924100000</v>
          </cell>
          <cell r="D88">
            <v>0</v>
          </cell>
          <cell r="E88">
            <v>0</v>
          </cell>
          <cell r="F88" t="str">
            <v>餐桌/厨房用，放置薄饼</v>
          </cell>
          <cell r="G88" t="str">
            <v>PP/塑料</v>
          </cell>
        </row>
        <row r="88">
          <cell r="L88" t="str">
            <v>广东省阳江市</v>
          </cell>
          <cell r="M88" t="str">
            <v>0|0|餐桌/厨房用，放置薄饼|PP/塑料||</v>
          </cell>
        </row>
        <row r="89">
          <cell r="B89" t="str">
            <v>寿司用具</v>
          </cell>
          <cell r="C89" t="str">
            <v>3924100000</v>
          </cell>
          <cell r="D89">
            <v>0</v>
          </cell>
          <cell r="E89">
            <v>0</v>
          </cell>
          <cell r="F89" t="str">
            <v>厨房用，摆放寿司器皿</v>
          </cell>
          <cell r="G89" t="str">
            <v>塑料</v>
          </cell>
        </row>
        <row r="89">
          <cell r="L89" t="str">
            <v>湖北省宜昌市</v>
          </cell>
          <cell r="M89" t="str">
            <v>0|0|厨房用，摆放寿司器皿|塑料||</v>
          </cell>
        </row>
        <row r="90">
          <cell r="B90" t="str">
            <v>烧烤钢签</v>
          </cell>
          <cell r="C90" t="str">
            <v>7323990000</v>
          </cell>
          <cell r="D90">
            <v>0</v>
          </cell>
          <cell r="E90">
            <v>0</v>
          </cell>
          <cell r="F90" t="str">
            <v>烧烤/厨房用</v>
          </cell>
          <cell r="G90" t="str">
            <v>不锈钢/钢铁</v>
          </cell>
          <cell r="H90" t="str">
            <v>未搪瓷</v>
          </cell>
        </row>
        <row r="90">
          <cell r="L90" t="str">
            <v>河北省邢台市</v>
          </cell>
          <cell r="M90" t="str">
            <v>0|0|烧烤/厨房用|不锈钢/钢铁|未搪瓷|</v>
          </cell>
        </row>
        <row r="91">
          <cell r="B91" t="str">
            <v>树脂盘子</v>
          </cell>
          <cell r="C91" t="str">
            <v>3924100000</v>
          </cell>
          <cell r="D91">
            <v>0</v>
          </cell>
          <cell r="E91">
            <v>0</v>
          </cell>
          <cell r="F91" t="str">
            <v>餐桌用，盛放食物</v>
          </cell>
          <cell r="G91" t="str">
            <v>树脂/塑料</v>
          </cell>
        </row>
        <row r="91">
          <cell r="L91" t="str">
            <v>安徽省合肥市</v>
          </cell>
          <cell r="M91" t="str">
            <v>0|0|餐桌用，盛放食物|树脂/塑料||</v>
          </cell>
        </row>
        <row r="92">
          <cell r="B92" t="str">
            <v>大型酒架</v>
          </cell>
          <cell r="C92" t="str">
            <v>7326909000</v>
          </cell>
          <cell r="D92">
            <v>0</v>
          </cell>
          <cell r="E92">
            <v>0</v>
          </cell>
          <cell r="F92" t="str">
            <v>装饰用途，非工业用途</v>
          </cell>
          <cell r="G92" t="str">
            <v>不锈钢30*30方管</v>
          </cell>
          <cell r="H92" t="str">
            <v>不锈钢拼接而成</v>
          </cell>
        </row>
        <row r="92">
          <cell r="L92" t="str">
            <v>上海市闵行区</v>
          </cell>
          <cell r="M92" t="str">
            <v>0|0|装饰用途，非工业用途|不锈钢30*30方管|不锈钢拼接而成|</v>
          </cell>
        </row>
        <row r="93">
          <cell r="B93" t="str">
            <v>1.2米常温调酒台</v>
          </cell>
          <cell r="C93" t="str">
            <v>9403200000</v>
          </cell>
          <cell r="D93">
            <v>0</v>
          </cell>
          <cell r="E93">
            <v>0</v>
          </cell>
          <cell r="F93" t="str">
            <v>用于搁置调酒器皿</v>
          </cell>
          <cell r="G93" t="str">
            <v>不锈钢</v>
          </cell>
          <cell r="H93" t="str">
            <v>无品牌</v>
          </cell>
        </row>
        <row r="93">
          <cell r="J93" t="str">
            <v>1.2米长</v>
          </cell>
        </row>
        <row r="93">
          <cell r="L93" t="str">
            <v>广州市番禺区</v>
          </cell>
          <cell r="M93" t="str">
            <v>0|0|用于搁置调酒器皿|不锈钢|无品牌|1.2米长|</v>
          </cell>
        </row>
        <row r="94">
          <cell r="B94" t="str">
            <v>大理石制品</v>
          </cell>
          <cell r="C94" t="str">
            <v>9403892000</v>
          </cell>
          <cell r="D94">
            <v>0</v>
          </cell>
          <cell r="E94">
            <v>0</v>
          </cell>
          <cell r="F94" t="str">
            <v>加工为供餐厅使用的台面</v>
          </cell>
          <cell r="G94" t="str">
            <v>无品牌</v>
          </cell>
          <cell r="H94" t="str">
            <v>无型号</v>
          </cell>
        </row>
        <row r="94">
          <cell r="L94" t="str">
            <v>广东省云浮市</v>
          </cell>
          <cell r="M94" t="str">
            <v>0|0|加工为供餐厅使用的台面|无品牌|无型号|</v>
          </cell>
        </row>
        <row r="95">
          <cell r="B95" t="str">
            <v>寿司饭团机</v>
          </cell>
          <cell r="C95" t="str">
            <v>8438800000</v>
          </cell>
          <cell r="D95">
            <v>0</v>
          </cell>
          <cell r="E95">
            <v>0</v>
          </cell>
          <cell r="F95" t="str">
            <v>米饭饭团成型成卷的食品加工</v>
          </cell>
          <cell r="G95" t="str">
            <v>无品牌</v>
          </cell>
          <cell r="H95" t="str">
            <v>MY-C1</v>
          </cell>
        </row>
        <row r="95">
          <cell r="L95" t="str">
            <v>广东省肇庆市</v>
          </cell>
          <cell r="M95" t="str">
            <v>0|0|米饭饭团成型成卷的食品加工|无品牌|MY-C1|</v>
          </cell>
        </row>
        <row r="96">
          <cell r="C96">
            <v>0</v>
          </cell>
          <cell r="D96">
            <v>0</v>
          </cell>
          <cell r="E96">
            <v>0</v>
          </cell>
        </row>
        <row r="96">
          <cell r="M96" t="str">
            <v>0|0|||</v>
          </cell>
        </row>
        <row r="97">
          <cell r="D97">
            <v>0</v>
          </cell>
          <cell r="E97">
            <v>0</v>
          </cell>
        </row>
        <row r="97">
          <cell r="M97" t="str">
            <v>0|0|||</v>
          </cell>
        </row>
        <row r="98">
          <cell r="D98">
            <v>0</v>
          </cell>
          <cell r="E98">
            <v>0</v>
          </cell>
        </row>
        <row r="98">
          <cell r="M98" t="str">
            <v>0|0|||</v>
          </cell>
        </row>
        <row r="99">
          <cell r="D99">
            <v>0</v>
          </cell>
          <cell r="E99">
            <v>0</v>
          </cell>
        </row>
        <row r="99">
          <cell r="M99" t="str">
            <v>0|0|||</v>
          </cell>
        </row>
      </sheetData>
      <sheetData sheetId="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1"/>
  </sheetPr>
  <dimension ref="A1:R36"/>
  <sheetViews>
    <sheetView zoomScale="75" zoomScaleNormal="75" topLeftCell="C4" workbookViewId="0">
      <selection activeCell="B13" sqref="B13"/>
    </sheetView>
  </sheetViews>
  <sheetFormatPr defaultColWidth="8.70967741935484" defaultRowHeight="16.45"/>
  <cols>
    <col min="1" max="1" width="12.0967741935484" style="40" customWidth="1"/>
    <col min="2" max="2" width="75.758064516129" style="40" customWidth="1"/>
    <col min="3" max="3" width="24.241935483871" style="40" customWidth="1"/>
    <col min="4" max="4" width="17.8306451612903" style="40" customWidth="1"/>
    <col min="5" max="5" width="32.7741935483871" style="40" customWidth="1"/>
    <col min="6" max="6" width="32.5564516129032" style="40" customWidth="1"/>
    <col min="7" max="7" width="26.4435483870968" style="41" customWidth="1"/>
    <col min="8" max="8" width="18.5564516129032" style="41" customWidth="1"/>
    <col min="9" max="9" width="21.8951612903226" style="41" customWidth="1"/>
    <col min="10" max="10" width="18" style="41"/>
    <col min="11" max="11" width="18.5564516129032" style="41"/>
    <col min="12" max="12" width="22.8548387096774" style="41"/>
    <col min="13" max="13" width="14.2177419354839" style="41"/>
    <col min="14" max="15" width="9" style="41"/>
    <col min="16" max="17" width="9" style="41" customWidth="1"/>
    <col min="18" max="246" width="9" style="41"/>
    <col min="247" max="247" width="11.2258064516129" style="41" customWidth="1"/>
    <col min="248" max="248" width="30.5564516129032" style="41" customWidth="1"/>
    <col min="249" max="249" width="45.4354838709677" style="41" customWidth="1"/>
    <col min="250" max="250" width="10.2258064516129" style="41" customWidth="1"/>
    <col min="251" max="251" width="7.2258064516129" style="41" customWidth="1"/>
    <col min="252" max="252" width="11.2258064516129" style="41" customWidth="1"/>
    <col min="253" max="253" width="13.5564516129032" style="41" customWidth="1"/>
    <col min="254" max="254" width="24.7741935483871" style="41" customWidth="1"/>
    <col min="255" max="255" width="32.5564516129032" style="41" customWidth="1"/>
    <col min="256" max="256" width="15.2258064516129" style="41" customWidth="1"/>
    <col min="257" max="262" width="9" style="41"/>
    <col min="263" max="263" width="55.5564516129032" style="41" customWidth="1"/>
    <col min="264" max="502" width="9" style="41"/>
    <col min="503" max="503" width="11.2258064516129" style="41" customWidth="1"/>
    <col min="504" max="504" width="30.5564516129032" style="41" customWidth="1"/>
    <col min="505" max="505" width="45.4354838709677" style="41" customWidth="1"/>
    <col min="506" max="506" width="10.2258064516129" style="41" customWidth="1"/>
    <col min="507" max="507" width="7.2258064516129" style="41" customWidth="1"/>
    <col min="508" max="508" width="11.2258064516129" style="41" customWidth="1"/>
    <col min="509" max="509" width="13.5564516129032" style="41" customWidth="1"/>
    <col min="510" max="510" width="24.7741935483871" style="41" customWidth="1"/>
    <col min="511" max="511" width="32.5564516129032" style="41" customWidth="1"/>
    <col min="512" max="512" width="15.2258064516129" style="41" customWidth="1"/>
    <col min="513" max="518" width="9" style="41"/>
    <col min="519" max="519" width="55.5564516129032" style="41" customWidth="1"/>
    <col min="520" max="758" width="9" style="41"/>
    <col min="759" max="759" width="11.2258064516129" style="41" customWidth="1"/>
    <col min="760" max="760" width="30.5564516129032" style="41" customWidth="1"/>
    <col min="761" max="761" width="45.4354838709677" style="41" customWidth="1"/>
    <col min="762" max="762" width="10.2258064516129" style="41" customWidth="1"/>
    <col min="763" max="763" width="7.2258064516129" style="41" customWidth="1"/>
    <col min="764" max="764" width="11.2258064516129" style="41" customWidth="1"/>
    <col min="765" max="765" width="13.5564516129032" style="41" customWidth="1"/>
    <col min="766" max="766" width="24.7741935483871" style="41" customWidth="1"/>
    <col min="767" max="767" width="32.5564516129032" style="41" customWidth="1"/>
    <col min="768" max="768" width="15.2258064516129" style="41" customWidth="1"/>
    <col min="769" max="774" width="9" style="41"/>
    <col min="775" max="775" width="55.5564516129032" style="41" customWidth="1"/>
    <col min="776" max="1014" width="9" style="41"/>
    <col min="1015" max="1015" width="11.2258064516129" style="41" customWidth="1"/>
    <col min="1016" max="1016" width="30.5564516129032" style="41" customWidth="1"/>
    <col min="1017" max="1017" width="45.4354838709677" style="41" customWidth="1"/>
    <col min="1018" max="1018" width="10.2258064516129" style="41" customWidth="1"/>
    <col min="1019" max="1019" width="7.2258064516129" style="41" customWidth="1"/>
    <col min="1020" max="1020" width="11.2258064516129" style="41" customWidth="1"/>
    <col min="1021" max="1021" width="13.5564516129032" style="41" customWidth="1"/>
    <col min="1022" max="1022" width="24.7741935483871" style="41" customWidth="1"/>
    <col min="1023" max="1023" width="32.5564516129032" style="41" customWidth="1"/>
    <col min="1024" max="1024" width="15.2258064516129" style="41" customWidth="1"/>
    <col min="1025" max="1030" width="9" style="41"/>
    <col min="1031" max="1031" width="55.5564516129032" style="41" customWidth="1"/>
    <col min="1032" max="1270" width="9" style="41"/>
    <col min="1271" max="1271" width="11.2258064516129" style="41" customWidth="1"/>
    <col min="1272" max="1272" width="30.5564516129032" style="41" customWidth="1"/>
    <col min="1273" max="1273" width="45.4354838709677" style="41" customWidth="1"/>
    <col min="1274" max="1274" width="10.2258064516129" style="41" customWidth="1"/>
    <col min="1275" max="1275" width="7.2258064516129" style="41" customWidth="1"/>
    <col min="1276" max="1276" width="11.2258064516129" style="41" customWidth="1"/>
    <col min="1277" max="1277" width="13.5564516129032" style="41" customWidth="1"/>
    <col min="1278" max="1278" width="24.7741935483871" style="41" customWidth="1"/>
    <col min="1279" max="1279" width="32.5564516129032" style="41" customWidth="1"/>
    <col min="1280" max="1280" width="15.2258064516129" style="41" customWidth="1"/>
    <col min="1281" max="1286" width="9" style="41"/>
    <col min="1287" max="1287" width="55.5564516129032" style="41" customWidth="1"/>
    <col min="1288" max="1526" width="9" style="41"/>
    <col min="1527" max="1527" width="11.2258064516129" style="41" customWidth="1"/>
    <col min="1528" max="1528" width="30.5564516129032" style="41" customWidth="1"/>
    <col min="1529" max="1529" width="45.4354838709677" style="41" customWidth="1"/>
    <col min="1530" max="1530" width="10.2258064516129" style="41" customWidth="1"/>
    <col min="1531" max="1531" width="7.2258064516129" style="41" customWidth="1"/>
    <col min="1532" max="1532" width="11.2258064516129" style="41" customWidth="1"/>
    <col min="1533" max="1533" width="13.5564516129032" style="41" customWidth="1"/>
    <col min="1534" max="1534" width="24.7741935483871" style="41" customWidth="1"/>
    <col min="1535" max="1535" width="32.5564516129032" style="41" customWidth="1"/>
    <col min="1536" max="1536" width="15.2258064516129" style="41" customWidth="1"/>
    <col min="1537" max="1542" width="9" style="41"/>
    <col min="1543" max="1543" width="55.5564516129032" style="41" customWidth="1"/>
    <col min="1544" max="1782" width="9" style="41"/>
    <col min="1783" max="1783" width="11.2258064516129" style="41" customWidth="1"/>
    <col min="1784" max="1784" width="30.5564516129032" style="41" customWidth="1"/>
    <col min="1785" max="1785" width="45.4354838709677" style="41" customWidth="1"/>
    <col min="1786" max="1786" width="10.2258064516129" style="41" customWidth="1"/>
    <col min="1787" max="1787" width="7.2258064516129" style="41" customWidth="1"/>
    <col min="1788" max="1788" width="11.2258064516129" style="41" customWidth="1"/>
    <col min="1789" max="1789" width="13.5564516129032" style="41" customWidth="1"/>
    <col min="1790" max="1790" width="24.7741935483871" style="41" customWidth="1"/>
    <col min="1791" max="1791" width="32.5564516129032" style="41" customWidth="1"/>
    <col min="1792" max="1792" width="15.2258064516129" style="41" customWidth="1"/>
    <col min="1793" max="1798" width="9" style="41"/>
    <col min="1799" max="1799" width="55.5564516129032" style="41" customWidth="1"/>
    <col min="1800" max="2038" width="9" style="41"/>
    <col min="2039" max="2039" width="11.2258064516129" style="41" customWidth="1"/>
    <col min="2040" max="2040" width="30.5564516129032" style="41" customWidth="1"/>
    <col min="2041" max="2041" width="45.4354838709677" style="41" customWidth="1"/>
    <col min="2042" max="2042" width="10.2258064516129" style="41" customWidth="1"/>
    <col min="2043" max="2043" width="7.2258064516129" style="41" customWidth="1"/>
    <col min="2044" max="2044" width="11.2258064516129" style="41" customWidth="1"/>
    <col min="2045" max="2045" width="13.5564516129032" style="41" customWidth="1"/>
    <col min="2046" max="2046" width="24.7741935483871" style="41" customWidth="1"/>
    <col min="2047" max="2047" width="32.5564516129032" style="41" customWidth="1"/>
    <col min="2048" max="2048" width="15.2258064516129" style="41" customWidth="1"/>
    <col min="2049" max="2054" width="9" style="41"/>
    <col min="2055" max="2055" width="55.5564516129032" style="41" customWidth="1"/>
    <col min="2056" max="2294" width="9" style="41"/>
    <col min="2295" max="2295" width="11.2258064516129" style="41" customWidth="1"/>
    <col min="2296" max="2296" width="30.5564516129032" style="41" customWidth="1"/>
    <col min="2297" max="2297" width="45.4354838709677" style="41" customWidth="1"/>
    <col min="2298" max="2298" width="10.2258064516129" style="41" customWidth="1"/>
    <col min="2299" max="2299" width="7.2258064516129" style="41" customWidth="1"/>
    <col min="2300" max="2300" width="11.2258064516129" style="41" customWidth="1"/>
    <col min="2301" max="2301" width="13.5564516129032" style="41" customWidth="1"/>
    <col min="2302" max="2302" width="24.7741935483871" style="41" customWidth="1"/>
    <col min="2303" max="2303" width="32.5564516129032" style="41" customWidth="1"/>
    <col min="2304" max="2304" width="15.2258064516129" style="41" customWidth="1"/>
    <col min="2305" max="2310" width="9" style="41"/>
    <col min="2311" max="2311" width="55.5564516129032" style="41" customWidth="1"/>
    <col min="2312" max="2550" width="9" style="41"/>
    <col min="2551" max="2551" width="11.2258064516129" style="41" customWidth="1"/>
    <col min="2552" max="2552" width="30.5564516129032" style="41" customWidth="1"/>
    <col min="2553" max="2553" width="45.4354838709677" style="41" customWidth="1"/>
    <col min="2554" max="2554" width="10.2258064516129" style="41" customWidth="1"/>
    <col min="2555" max="2555" width="7.2258064516129" style="41" customWidth="1"/>
    <col min="2556" max="2556" width="11.2258064516129" style="41" customWidth="1"/>
    <col min="2557" max="2557" width="13.5564516129032" style="41" customWidth="1"/>
    <col min="2558" max="2558" width="24.7741935483871" style="41" customWidth="1"/>
    <col min="2559" max="2559" width="32.5564516129032" style="41" customWidth="1"/>
    <col min="2560" max="2560" width="15.2258064516129" style="41" customWidth="1"/>
    <col min="2561" max="2566" width="9" style="41"/>
    <col min="2567" max="2567" width="55.5564516129032" style="41" customWidth="1"/>
    <col min="2568" max="2806" width="9" style="41"/>
    <col min="2807" max="2807" width="11.2258064516129" style="41" customWidth="1"/>
    <col min="2808" max="2808" width="30.5564516129032" style="41" customWidth="1"/>
    <col min="2809" max="2809" width="45.4354838709677" style="41" customWidth="1"/>
    <col min="2810" max="2810" width="10.2258064516129" style="41" customWidth="1"/>
    <col min="2811" max="2811" width="7.2258064516129" style="41" customWidth="1"/>
    <col min="2812" max="2812" width="11.2258064516129" style="41" customWidth="1"/>
    <col min="2813" max="2813" width="13.5564516129032" style="41" customWidth="1"/>
    <col min="2814" max="2814" width="24.7741935483871" style="41" customWidth="1"/>
    <col min="2815" max="2815" width="32.5564516129032" style="41" customWidth="1"/>
    <col min="2816" max="2816" width="15.2258064516129" style="41" customWidth="1"/>
    <col min="2817" max="2822" width="9" style="41"/>
    <col min="2823" max="2823" width="55.5564516129032" style="41" customWidth="1"/>
    <col min="2824" max="3062" width="9" style="41"/>
    <col min="3063" max="3063" width="11.2258064516129" style="41" customWidth="1"/>
    <col min="3064" max="3064" width="30.5564516129032" style="41" customWidth="1"/>
    <col min="3065" max="3065" width="45.4354838709677" style="41" customWidth="1"/>
    <col min="3066" max="3066" width="10.2258064516129" style="41" customWidth="1"/>
    <col min="3067" max="3067" width="7.2258064516129" style="41" customWidth="1"/>
    <col min="3068" max="3068" width="11.2258064516129" style="41" customWidth="1"/>
    <col min="3069" max="3069" width="13.5564516129032" style="41" customWidth="1"/>
    <col min="3070" max="3070" width="24.7741935483871" style="41" customWidth="1"/>
    <col min="3071" max="3071" width="32.5564516129032" style="41" customWidth="1"/>
    <col min="3072" max="3072" width="15.2258064516129" style="41" customWidth="1"/>
    <col min="3073" max="3078" width="9" style="41"/>
    <col min="3079" max="3079" width="55.5564516129032" style="41" customWidth="1"/>
    <col min="3080" max="3318" width="9" style="41"/>
    <col min="3319" max="3319" width="11.2258064516129" style="41" customWidth="1"/>
    <col min="3320" max="3320" width="30.5564516129032" style="41" customWidth="1"/>
    <col min="3321" max="3321" width="45.4354838709677" style="41" customWidth="1"/>
    <col min="3322" max="3322" width="10.2258064516129" style="41" customWidth="1"/>
    <col min="3323" max="3323" width="7.2258064516129" style="41" customWidth="1"/>
    <col min="3324" max="3324" width="11.2258064516129" style="41" customWidth="1"/>
    <col min="3325" max="3325" width="13.5564516129032" style="41" customWidth="1"/>
    <col min="3326" max="3326" width="24.7741935483871" style="41" customWidth="1"/>
    <col min="3327" max="3327" width="32.5564516129032" style="41" customWidth="1"/>
    <col min="3328" max="3328" width="15.2258064516129" style="41" customWidth="1"/>
    <col min="3329" max="3334" width="9" style="41"/>
    <col min="3335" max="3335" width="55.5564516129032" style="41" customWidth="1"/>
    <col min="3336" max="3574" width="9" style="41"/>
    <col min="3575" max="3575" width="11.2258064516129" style="41" customWidth="1"/>
    <col min="3576" max="3576" width="30.5564516129032" style="41" customWidth="1"/>
    <col min="3577" max="3577" width="45.4354838709677" style="41" customWidth="1"/>
    <col min="3578" max="3578" width="10.2258064516129" style="41" customWidth="1"/>
    <col min="3579" max="3579" width="7.2258064516129" style="41" customWidth="1"/>
    <col min="3580" max="3580" width="11.2258064516129" style="41" customWidth="1"/>
    <col min="3581" max="3581" width="13.5564516129032" style="41" customWidth="1"/>
    <col min="3582" max="3582" width="24.7741935483871" style="41" customWidth="1"/>
    <col min="3583" max="3583" width="32.5564516129032" style="41" customWidth="1"/>
    <col min="3584" max="3584" width="15.2258064516129" style="41" customWidth="1"/>
    <col min="3585" max="3590" width="9" style="41"/>
    <col min="3591" max="3591" width="55.5564516129032" style="41" customWidth="1"/>
    <col min="3592" max="3830" width="9" style="41"/>
    <col min="3831" max="3831" width="11.2258064516129" style="41" customWidth="1"/>
    <col min="3832" max="3832" width="30.5564516129032" style="41" customWidth="1"/>
    <col min="3833" max="3833" width="45.4354838709677" style="41" customWidth="1"/>
    <col min="3834" max="3834" width="10.2258064516129" style="41" customWidth="1"/>
    <col min="3835" max="3835" width="7.2258064516129" style="41" customWidth="1"/>
    <col min="3836" max="3836" width="11.2258064516129" style="41" customWidth="1"/>
    <col min="3837" max="3837" width="13.5564516129032" style="41" customWidth="1"/>
    <col min="3838" max="3838" width="24.7741935483871" style="41" customWidth="1"/>
    <col min="3839" max="3839" width="32.5564516129032" style="41" customWidth="1"/>
    <col min="3840" max="3840" width="15.2258064516129" style="41" customWidth="1"/>
    <col min="3841" max="3846" width="9" style="41"/>
    <col min="3847" max="3847" width="55.5564516129032" style="41" customWidth="1"/>
    <col min="3848" max="4086" width="9" style="41"/>
    <col min="4087" max="4087" width="11.2258064516129" style="41" customWidth="1"/>
    <col min="4088" max="4088" width="30.5564516129032" style="41" customWidth="1"/>
    <col min="4089" max="4089" width="45.4354838709677" style="41" customWidth="1"/>
    <col min="4090" max="4090" width="10.2258064516129" style="41" customWidth="1"/>
    <col min="4091" max="4091" width="7.2258064516129" style="41" customWidth="1"/>
    <col min="4092" max="4092" width="11.2258064516129" style="41" customWidth="1"/>
    <col min="4093" max="4093" width="13.5564516129032" style="41" customWidth="1"/>
    <col min="4094" max="4094" width="24.7741935483871" style="41" customWidth="1"/>
    <col min="4095" max="4095" width="32.5564516129032" style="41" customWidth="1"/>
    <col min="4096" max="4096" width="15.2258064516129" style="41" customWidth="1"/>
    <col min="4097" max="4102" width="9" style="41"/>
    <col min="4103" max="4103" width="55.5564516129032" style="41" customWidth="1"/>
    <col min="4104" max="4342" width="9" style="41"/>
    <col min="4343" max="4343" width="11.2258064516129" style="41" customWidth="1"/>
    <col min="4344" max="4344" width="30.5564516129032" style="41" customWidth="1"/>
    <col min="4345" max="4345" width="45.4354838709677" style="41" customWidth="1"/>
    <col min="4346" max="4346" width="10.2258064516129" style="41" customWidth="1"/>
    <col min="4347" max="4347" width="7.2258064516129" style="41" customWidth="1"/>
    <col min="4348" max="4348" width="11.2258064516129" style="41" customWidth="1"/>
    <col min="4349" max="4349" width="13.5564516129032" style="41" customWidth="1"/>
    <col min="4350" max="4350" width="24.7741935483871" style="41" customWidth="1"/>
    <col min="4351" max="4351" width="32.5564516129032" style="41" customWidth="1"/>
    <col min="4352" max="4352" width="15.2258064516129" style="41" customWidth="1"/>
    <col min="4353" max="4358" width="9" style="41"/>
    <col min="4359" max="4359" width="55.5564516129032" style="41" customWidth="1"/>
    <col min="4360" max="4598" width="9" style="41"/>
    <col min="4599" max="4599" width="11.2258064516129" style="41" customWidth="1"/>
    <col min="4600" max="4600" width="30.5564516129032" style="41" customWidth="1"/>
    <col min="4601" max="4601" width="45.4354838709677" style="41" customWidth="1"/>
    <col min="4602" max="4602" width="10.2258064516129" style="41" customWidth="1"/>
    <col min="4603" max="4603" width="7.2258064516129" style="41" customWidth="1"/>
    <col min="4604" max="4604" width="11.2258064516129" style="41" customWidth="1"/>
    <col min="4605" max="4605" width="13.5564516129032" style="41" customWidth="1"/>
    <col min="4606" max="4606" width="24.7741935483871" style="41" customWidth="1"/>
    <col min="4607" max="4607" width="32.5564516129032" style="41" customWidth="1"/>
    <col min="4608" max="4608" width="15.2258064516129" style="41" customWidth="1"/>
    <col min="4609" max="4614" width="9" style="41"/>
    <col min="4615" max="4615" width="55.5564516129032" style="41" customWidth="1"/>
    <col min="4616" max="4854" width="9" style="41"/>
    <col min="4855" max="4855" width="11.2258064516129" style="41" customWidth="1"/>
    <col min="4856" max="4856" width="30.5564516129032" style="41" customWidth="1"/>
    <col min="4857" max="4857" width="45.4354838709677" style="41" customWidth="1"/>
    <col min="4858" max="4858" width="10.2258064516129" style="41" customWidth="1"/>
    <col min="4859" max="4859" width="7.2258064516129" style="41" customWidth="1"/>
    <col min="4860" max="4860" width="11.2258064516129" style="41" customWidth="1"/>
    <col min="4861" max="4861" width="13.5564516129032" style="41" customWidth="1"/>
    <col min="4862" max="4862" width="24.7741935483871" style="41" customWidth="1"/>
    <col min="4863" max="4863" width="32.5564516129032" style="41" customWidth="1"/>
    <col min="4864" max="4864" width="15.2258064516129" style="41" customWidth="1"/>
    <col min="4865" max="4870" width="9" style="41"/>
    <col min="4871" max="4871" width="55.5564516129032" style="41" customWidth="1"/>
    <col min="4872" max="5110" width="9" style="41"/>
    <col min="5111" max="5111" width="11.2258064516129" style="41" customWidth="1"/>
    <col min="5112" max="5112" width="30.5564516129032" style="41" customWidth="1"/>
    <col min="5113" max="5113" width="45.4354838709677" style="41" customWidth="1"/>
    <col min="5114" max="5114" width="10.2258064516129" style="41" customWidth="1"/>
    <col min="5115" max="5115" width="7.2258064516129" style="41" customWidth="1"/>
    <col min="5116" max="5116" width="11.2258064516129" style="41" customWidth="1"/>
    <col min="5117" max="5117" width="13.5564516129032" style="41" customWidth="1"/>
    <col min="5118" max="5118" width="24.7741935483871" style="41" customWidth="1"/>
    <col min="5119" max="5119" width="32.5564516129032" style="41" customWidth="1"/>
    <col min="5120" max="5120" width="15.2258064516129" style="41" customWidth="1"/>
    <col min="5121" max="5126" width="9" style="41"/>
    <col min="5127" max="5127" width="55.5564516129032" style="41" customWidth="1"/>
    <col min="5128" max="5366" width="9" style="41"/>
    <col min="5367" max="5367" width="11.2258064516129" style="41" customWidth="1"/>
    <col min="5368" max="5368" width="30.5564516129032" style="41" customWidth="1"/>
    <col min="5369" max="5369" width="45.4354838709677" style="41" customWidth="1"/>
    <col min="5370" max="5370" width="10.2258064516129" style="41" customWidth="1"/>
    <col min="5371" max="5371" width="7.2258064516129" style="41" customWidth="1"/>
    <col min="5372" max="5372" width="11.2258064516129" style="41" customWidth="1"/>
    <col min="5373" max="5373" width="13.5564516129032" style="41" customWidth="1"/>
    <col min="5374" max="5374" width="24.7741935483871" style="41" customWidth="1"/>
    <col min="5375" max="5375" width="32.5564516129032" style="41" customWidth="1"/>
    <col min="5376" max="5376" width="15.2258064516129" style="41" customWidth="1"/>
    <col min="5377" max="5382" width="9" style="41"/>
    <col min="5383" max="5383" width="55.5564516129032" style="41" customWidth="1"/>
    <col min="5384" max="5622" width="9" style="41"/>
    <col min="5623" max="5623" width="11.2258064516129" style="41" customWidth="1"/>
    <col min="5624" max="5624" width="30.5564516129032" style="41" customWidth="1"/>
    <col min="5625" max="5625" width="45.4354838709677" style="41" customWidth="1"/>
    <col min="5626" max="5626" width="10.2258064516129" style="41" customWidth="1"/>
    <col min="5627" max="5627" width="7.2258064516129" style="41" customWidth="1"/>
    <col min="5628" max="5628" width="11.2258064516129" style="41" customWidth="1"/>
    <col min="5629" max="5629" width="13.5564516129032" style="41" customWidth="1"/>
    <col min="5630" max="5630" width="24.7741935483871" style="41" customWidth="1"/>
    <col min="5631" max="5631" width="32.5564516129032" style="41" customWidth="1"/>
    <col min="5632" max="5632" width="15.2258064516129" style="41" customWidth="1"/>
    <col min="5633" max="5638" width="9" style="41"/>
    <col min="5639" max="5639" width="55.5564516129032" style="41" customWidth="1"/>
    <col min="5640" max="5878" width="9" style="41"/>
    <col min="5879" max="5879" width="11.2258064516129" style="41" customWidth="1"/>
    <col min="5880" max="5880" width="30.5564516129032" style="41" customWidth="1"/>
    <col min="5881" max="5881" width="45.4354838709677" style="41" customWidth="1"/>
    <col min="5882" max="5882" width="10.2258064516129" style="41" customWidth="1"/>
    <col min="5883" max="5883" width="7.2258064516129" style="41" customWidth="1"/>
    <col min="5884" max="5884" width="11.2258064516129" style="41" customWidth="1"/>
    <col min="5885" max="5885" width="13.5564516129032" style="41" customWidth="1"/>
    <col min="5886" max="5886" width="24.7741935483871" style="41" customWidth="1"/>
    <col min="5887" max="5887" width="32.5564516129032" style="41" customWidth="1"/>
    <col min="5888" max="5888" width="15.2258064516129" style="41" customWidth="1"/>
    <col min="5889" max="5894" width="9" style="41"/>
    <col min="5895" max="5895" width="55.5564516129032" style="41" customWidth="1"/>
    <col min="5896" max="6134" width="9" style="41"/>
    <col min="6135" max="6135" width="11.2258064516129" style="41" customWidth="1"/>
    <col min="6136" max="6136" width="30.5564516129032" style="41" customWidth="1"/>
    <col min="6137" max="6137" width="45.4354838709677" style="41" customWidth="1"/>
    <col min="6138" max="6138" width="10.2258064516129" style="41" customWidth="1"/>
    <col min="6139" max="6139" width="7.2258064516129" style="41" customWidth="1"/>
    <col min="6140" max="6140" width="11.2258064516129" style="41" customWidth="1"/>
    <col min="6141" max="6141" width="13.5564516129032" style="41" customWidth="1"/>
    <col min="6142" max="6142" width="24.7741935483871" style="41" customWidth="1"/>
    <col min="6143" max="6143" width="32.5564516129032" style="41" customWidth="1"/>
    <col min="6144" max="6144" width="15.2258064516129" style="41" customWidth="1"/>
    <col min="6145" max="6150" width="9" style="41"/>
    <col min="6151" max="6151" width="55.5564516129032" style="41" customWidth="1"/>
    <col min="6152" max="6390" width="9" style="41"/>
    <col min="6391" max="6391" width="11.2258064516129" style="41" customWidth="1"/>
    <col min="6392" max="6392" width="30.5564516129032" style="41" customWidth="1"/>
    <col min="6393" max="6393" width="45.4354838709677" style="41" customWidth="1"/>
    <col min="6394" max="6394" width="10.2258064516129" style="41" customWidth="1"/>
    <col min="6395" max="6395" width="7.2258064516129" style="41" customWidth="1"/>
    <col min="6396" max="6396" width="11.2258064516129" style="41" customWidth="1"/>
    <col min="6397" max="6397" width="13.5564516129032" style="41" customWidth="1"/>
    <col min="6398" max="6398" width="24.7741935483871" style="41" customWidth="1"/>
    <col min="6399" max="6399" width="32.5564516129032" style="41" customWidth="1"/>
    <col min="6400" max="6400" width="15.2258064516129" style="41" customWidth="1"/>
    <col min="6401" max="6406" width="9" style="41"/>
    <col min="6407" max="6407" width="55.5564516129032" style="41" customWidth="1"/>
    <col min="6408" max="6646" width="9" style="41"/>
    <col min="6647" max="6647" width="11.2258064516129" style="41" customWidth="1"/>
    <col min="6648" max="6648" width="30.5564516129032" style="41" customWidth="1"/>
    <col min="6649" max="6649" width="45.4354838709677" style="41" customWidth="1"/>
    <col min="6650" max="6650" width="10.2258064516129" style="41" customWidth="1"/>
    <col min="6651" max="6651" width="7.2258064516129" style="41" customWidth="1"/>
    <col min="6652" max="6652" width="11.2258064516129" style="41" customWidth="1"/>
    <col min="6653" max="6653" width="13.5564516129032" style="41" customWidth="1"/>
    <col min="6654" max="6654" width="24.7741935483871" style="41" customWidth="1"/>
    <col min="6655" max="6655" width="32.5564516129032" style="41" customWidth="1"/>
    <col min="6656" max="6656" width="15.2258064516129" style="41" customWidth="1"/>
    <col min="6657" max="6662" width="9" style="41"/>
    <col min="6663" max="6663" width="55.5564516129032" style="41" customWidth="1"/>
    <col min="6664" max="6902" width="9" style="41"/>
    <col min="6903" max="6903" width="11.2258064516129" style="41" customWidth="1"/>
    <col min="6904" max="6904" width="30.5564516129032" style="41" customWidth="1"/>
    <col min="6905" max="6905" width="45.4354838709677" style="41" customWidth="1"/>
    <col min="6906" max="6906" width="10.2258064516129" style="41" customWidth="1"/>
    <col min="6907" max="6907" width="7.2258064516129" style="41" customWidth="1"/>
    <col min="6908" max="6908" width="11.2258064516129" style="41" customWidth="1"/>
    <col min="6909" max="6909" width="13.5564516129032" style="41" customWidth="1"/>
    <col min="6910" max="6910" width="24.7741935483871" style="41" customWidth="1"/>
    <col min="6911" max="6911" width="32.5564516129032" style="41" customWidth="1"/>
    <col min="6912" max="6912" width="15.2258064516129" style="41" customWidth="1"/>
    <col min="6913" max="6918" width="9" style="41"/>
    <col min="6919" max="6919" width="55.5564516129032" style="41" customWidth="1"/>
    <col min="6920" max="7158" width="9" style="41"/>
    <col min="7159" max="7159" width="11.2258064516129" style="41" customWidth="1"/>
    <col min="7160" max="7160" width="30.5564516129032" style="41" customWidth="1"/>
    <col min="7161" max="7161" width="45.4354838709677" style="41" customWidth="1"/>
    <col min="7162" max="7162" width="10.2258064516129" style="41" customWidth="1"/>
    <col min="7163" max="7163" width="7.2258064516129" style="41" customWidth="1"/>
    <col min="7164" max="7164" width="11.2258064516129" style="41" customWidth="1"/>
    <col min="7165" max="7165" width="13.5564516129032" style="41" customWidth="1"/>
    <col min="7166" max="7166" width="24.7741935483871" style="41" customWidth="1"/>
    <col min="7167" max="7167" width="32.5564516129032" style="41" customWidth="1"/>
    <col min="7168" max="7168" width="15.2258064516129" style="41" customWidth="1"/>
    <col min="7169" max="7174" width="9" style="41"/>
    <col min="7175" max="7175" width="55.5564516129032" style="41" customWidth="1"/>
    <col min="7176" max="7414" width="9" style="41"/>
    <col min="7415" max="7415" width="11.2258064516129" style="41" customWidth="1"/>
    <col min="7416" max="7416" width="30.5564516129032" style="41" customWidth="1"/>
    <col min="7417" max="7417" width="45.4354838709677" style="41" customWidth="1"/>
    <col min="7418" max="7418" width="10.2258064516129" style="41" customWidth="1"/>
    <col min="7419" max="7419" width="7.2258064516129" style="41" customWidth="1"/>
    <col min="7420" max="7420" width="11.2258064516129" style="41" customWidth="1"/>
    <col min="7421" max="7421" width="13.5564516129032" style="41" customWidth="1"/>
    <col min="7422" max="7422" width="24.7741935483871" style="41" customWidth="1"/>
    <col min="7423" max="7423" width="32.5564516129032" style="41" customWidth="1"/>
    <col min="7424" max="7424" width="15.2258064516129" style="41" customWidth="1"/>
    <col min="7425" max="7430" width="9" style="41"/>
    <col min="7431" max="7431" width="55.5564516129032" style="41" customWidth="1"/>
    <col min="7432" max="7670" width="9" style="41"/>
    <col min="7671" max="7671" width="11.2258064516129" style="41" customWidth="1"/>
    <col min="7672" max="7672" width="30.5564516129032" style="41" customWidth="1"/>
    <col min="7673" max="7673" width="45.4354838709677" style="41" customWidth="1"/>
    <col min="7674" max="7674" width="10.2258064516129" style="41" customWidth="1"/>
    <col min="7675" max="7675" width="7.2258064516129" style="41" customWidth="1"/>
    <col min="7676" max="7676" width="11.2258064516129" style="41" customWidth="1"/>
    <col min="7677" max="7677" width="13.5564516129032" style="41" customWidth="1"/>
    <col min="7678" max="7678" width="24.7741935483871" style="41" customWidth="1"/>
    <col min="7679" max="7679" width="32.5564516129032" style="41" customWidth="1"/>
    <col min="7680" max="7680" width="15.2258064516129" style="41" customWidth="1"/>
    <col min="7681" max="7686" width="9" style="41"/>
    <col min="7687" max="7687" width="55.5564516129032" style="41" customWidth="1"/>
    <col min="7688" max="7926" width="9" style="41"/>
    <col min="7927" max="7927" width="11.2258064516129" style="41" customWidth="1"/>
    <col min="7928" max="7928" width="30.5564516129032" style="41" customWidth="1"/>
    <col min="7929" max="7929" width="45.4354838709677" style="41" customWidth="1"/>
    <col min="7930" max="7930" width="10.2258064516129" style="41" customWidth="1"/>
    <col min="7931" max="7931" width="7.2258064516129" style="41" customWidth="1"/>
    <col min="7932" max="7932" width="11.2258064516129" style="41" customWidth="1"/>
    <col min="7933" max="7933" width="13.5564516129032" style="41" customWidth="1"/>
    <col min="7934" max="7934" width="24.7741935483871" style="41" customWidth="1"/>
    <col min="7935" max="7935" width="32.5564516129032" style="41" customWidth="1"/>
    <col min="7936" max="7936" width="15.2258064516129" style="41" customWidth="1"/>
    <col min="7937" max="7942" width="9" style="41"/>
    <col min="7943" max="7943" width="55.5564516129032" style="41" customWidth="1"/>
    <col min="7944" max="8182" width="9" style="41"/>
    <col min="8183" max="8183" width="11.2258064516129" style="41" customWidth="1"/>
    <col min="8184" max="8184" width="30.5564516129032" style="41" customWidth="1"/>
    <col min="8185" max="8185" width="45.4354838709677" style="41" customWidth="1"/>
    <col min="8186" max="8186" width="10.2258064516129" style="41" customWidth="1"/>
    <col min="8187" max="8187" width="7.2258064516129" style="41" customWidth="1"/>
    <col min="8188" max="8188" width="11.2258064516129" style="41" customWidth="1"/>
    <col min="8189" max="8189" width="13.5564516129032" style="41" customWidth="1"/>
    <col min="8190" max="8190" width="24.7741935483871" style="41" customWidth="1"/>
    <col min="8191" max="8191" width="32.5564516129032" style="41" customWidth="1"/>
    <col min="8192" max="8192" width="15.2258064516129" style="41" customWidth="1"/>
    <col min="8193" max="8198" width="9" style="41"/>
    <col min="8199" max="8199" width="55.5564516129032" style="41" customWidth="1"/>
    <col min="8200" max="8438" width="9" style="41"/>
    <col min="8439" max="8439" width="11.2258064516129" style="41" customWidth="1"/>
    <col min="8440" max="8440" width="30.5564516129032" style="41" customWidth="1"/>
    <col min="8441" max="8441" width="45.4354838709677" style="41" customWidth="1"/>
    <col min="8442" max="8442" width="10.2258064516129" style="41" customWidth="1"/>
    <col min="8443" max="8443" width="7.2258064516129" style="41" customWidth="1"/>
    <col min="8444" max="8444" width="11.2258064516129" style="41" customWidth="1"/>
    <col min="8445" max="8445" width="13.5564516129032" style="41" customWidth="1"/>
    <col min="8446" max="8446" width="24.7741935483871" style="41" customWidth="1"/>
    <col min="8447" max="8447" width="32.5564516129032" style="41" customWidth="1"/>
    <col min="8448" max="8448" width="15.2258064516129" style="41" customWidth="1"/>
    <col min="8449" max="8454" width="9" style="41"/>
    <col min="8455" max="8455" width="55.5564516129032" style="41" customWidth="1"/>
    <col min="8456" max="8694" width="9" style="41"/>
    <col min="8695" max="8695" width="11.2258064516129" style="41" customWidth="1"/>
    <col min="8696" max="8696" width="30.5564516129032" style="41" customWidth="1"/>
    <col min="8697" max="8697" width="45.4354838709677" style="41" customWidth="1"/>
    <col min="8698" max="8698" width="10.2258064516129" style="41" customWidth="1"/>
    <col min="8699" max="8699" width="7.2258064516129" style="41" customWidth="1"/>
    <col min="8700" max="8700" width="11.2258064516129" style="41" customWidth="1"/>
    <col min="8701" max="8701" width="13.5564516129032" style="41" customWidth="1"/>
    <col min="8702" max="8702" width="24.7741935483871" style="41" customWidth="1"/>
    <col min="8703" max="8703" width="32.5564516129032" style="41" customWidth="1"/>
    <col min="8704" max="8704" width="15.2258064516129" style="41" customWidth="1"/>
    <col min="8705" max="8710" width="9" style="41"/>
    <col min="8711" max="8711" width="55.5564516129032" style="41" customWidth="1"/>
    <col min="8712" max="8950" width="9" style="41"/>
    <col min="8951" max="8951" width="11.2258064516129" style="41" customWidth="1"/>
    <col min="8952" max="8952" width="30.5564516129032" style="41" customWidth="1"/>
    <col min="8953" max="8953" width="45.4354838709677" style="41" customWidth="1"/>
    <col min="8954" max="8954" width="10.2258064516129" style="41" customWidth="1"/>
    <col min="8955" max="8955" width="7.2258064516129" style="41" customWidth="1"/>
    <col min="8956" max="8956" width="11.2258064516129" style="41" customWidth="1"/>
    <col min="8957" max="8957" width="13.5564516129032" style="41" customWidth="1"/>
    <col min="8958" max="8958" width="24.7741935483871" style="41" customWidth="1"/>
    <col min="8959" max="8959" width="32.5564516129032" style="41" customWidth="1"/>
    <col min="8960" max="8960" width="15.2258064516129" style="41" customWidth="1"/>
    <col min="8961" max="8966" width="9" style="41"/>
    <col min="8967" max="8967" width="55.5564516129032" style="41" customWidth="1"/>
    <col min="8968" max="9206" width="9" style="41"/>
    <col min="9207" max="9207" width="11.2258064516129" style="41" customWidth="1"/>
    <col min="9208" max="9208" width="30.5564516129032" style="41" customWidth="1"/>
    <col min="9209" max="9209" width="45.4354838709677" style="41" customWidth="1"/>
    <col min="9210" max="9210" width="10.2258064516129" style="41" customWidth="1"/>
    <col min="9211" max="9211" width="7.2258064516129" style="41" customWidth="1"/>
    <col min="9212" max="9212" width="11.2258064516129" style="41" customWidth="1"/>
    <col min="9213" max="9213" width="13.5564516129032" style="41" customWidth="1"/>
    <col min="9214" max="9214" width="24.7741935483871" style="41" customWidth="1"/>
    <col min="9215" max="9215" width="32.5564516129032" style="41" customWidth="1"/>
    <col min="9216" max="9216" width="15.2258064516129" style="41" customWidth="1"/>
    <col min="9217" max="9222" width="9" style="41"/>
    <col min="9223" max="9223" width="55.5564516129032" style="41" customWidth="1"/>
    <col min="9224" max="9462" width="9" style="41"/>
    <col min="9463" max="9463" width="11.2258064516129" style="41" customWidth="1"/>
    <col min="9464" max="9464" width="30.5564516129032" style="41" customWidth="1"/>
    <col min="9465" max="9465" width="45.4354838709677" style="41" customWidth="1"/>
    <col min="9466" max="9466" width="10.2258064516129" style="41" customWidth="1"/>
    <col min="9467" max="9467" width="7.2258064516129" style="41" customWidth="1"/>
    <col min="9468" max="9468" width="11.2258064516129" style="41" customWidth="1"/>
    <col min="9469" max="9469" width="13.5564516129032" style="41" customWidth="1"/>
    <col min="9470" max="9470" width="24.7741935483871" style="41" customWidth="1"/>
    <col min="9471" max="9471" width="32.5564516129032" style="41" customWidth="1"/>
    <col min="9472" max="9472" width="15.2258064516129" style="41" customWidth="1"/>
    <col min="9473" max="9478" width="9" style="41"/>
    <col min="9479" max="9479" width="55.5564516129032" style="41" customWidth="1"/>
    <col min="9480" max="9718" width="9" style="41"/>
    <col min="9719" max="9719" width="11.2258064516129" style="41" customWidth="1"/>
    <col min="9720" max="9720" width="30.5564516129032" style="41" customWidth="1"/>
    <col min="9721" max="9721" width="45.4354838709677" style="41" customWidth="1"/>
    <col min="9722" max="9722" width="10.2258064516129" style="41" customWidth="1"/>
    <col min="9723" max="9723" width="7.2258064516129" style="41" customWidth="1"/>
    <col min="9724" max="9724" width="11.2258064516129" style="41" customWidth="1"/>
    <col min="9725" max="9725" width="13.5564516129032" style="41" customWidth="1"/>
    <col min="9726" max="9726" width="24.7741935483871" style="41" customWidth="1"/>
    <col min="9727" max="9727" width="32.5564516129032" style="41" customWidth="1"/>
    <col min="9728" max="9728" width="15.2258064516129" style="41" customWidth="1"/>
    <col min="9729" max="9734" width="9" style="41"/>
    <col min="9735" max="9735" width="55.5564516129032" style="41" customWidth="1"/>
    <col min="9736" max="9974" width="9" style="41"/>
    <col min="9975" max="9975" width="11.2258064516129" style="41" customWidth="1"/>
    <col min="9976" max="9976" width="30.5564516129032" style="41" customWidth="1"/>
    <col min="9977" max="9977" width="45.4354838709677" style="41" customWidth="1"/>
    <col min="9978" max="9978" width="10.2258064516129" style="41" customWidth="1"/>
    <col min="9979" max="9979" width="7.2258064516129" style="41" customWidth="1"/>
    <col min="9980" max="9980" width="11.2258064516129" style="41" customWidth="1"/>
    <col min="9981" max="9981" width="13.5564516129032" style="41" customWidth="1"/>
    <col min="9982" max="9982" width="24.7741935483871" style="41" customWidth="1"/>
    <col min="9983" max="9983" width="32.5564516129032" style="41" customWidth="1"/>
    <col min="9984" max="9984" width="15.2258064516129" style="41" customWidth="1"/>
    <col min="9985" max="9990" width="9" style="41"/>
    <col min="9991" max="9991" width="55.5564516129032" style="41" customWidth="1"/>
    <col min="9992" max="10230" width="9" style="41"/>
    <col min="10231" max="10231" width="11.2258064516129" style="41" customWidth="1"/>
    <col min="10232" max="10232" width="30.5564516129032" style="41" customWidth="1"/>
    <col min="10233" max="10233" width="45.4354838709677" style="41" customWidth="1"/>
    <col min="10234" max="10234" width="10.2258064516129" style="41" customWidth="1"/>
    <col min="10235" max="10235" width="7.2258064516129" style="41" customWidth="1"/>
    <col min="10236" max="10236" width="11.2258064516129" style="41" customWidth="1"/>
    <col min="10237" max="10237" width="13.5564516129032" style="41" customWidth="1"/>
    <col min="10238" max="10238" width="24.7741935483871" style="41" customWidth="1"/>
    <col min="10239" max="10239" width="32.5564516129032" style="41" customWidth="1"/>
    <col min="10240" max="10240" width="15.2258064516129" style="41" customWidth="1"/>
    <col min="10241" max="10246" width="9" style="41"/>
    <col min="10247" max="10247" width="55.5564516129032" style="41" customWidth="1"/>
    <col min="10248" max="10486" width="9" style="41"/>
    <col min="10487" max="10487" width="11.2258064516129" style="41" customWidth="1"/>
    <col min="10488" max="10488" width="30.5564516129032" style="41" customWidth="1"/>
    <col min="10489" max="10489" width="45.4354838709677" style="41" customWidth="1"/>
    <col min="10490" max="10490" width="10.2258064516129" style="41" customWidth="1"/>
    <col min="10491" max="10491" width="7.2258064516129" style="41" customWidth="1"/>
    <col min="10492" max="10492" width="11.2258064516129" style="41" customWidth="1"/>
    <col min="10493" max="10493" width="13.5564516129032" style="41" customWidth="1"/>
    <col min="10494" max="10494" width="24.7741935483871" style="41" customWidth="1"/>
    <col min="10495" max="10495" width="32.5564516129032" style="41" customWidth="1"/>
    <col min="10496" max="10496" width="15.2258064516129" style="41" customWidth="1"/>
    <col min="10497" max="10502" width="9" style="41"/>
    <col min="10503" max="10503" width="55.5564516129032" style="41" customWidth="1"/>
    <col min="10504" max="10742" width="9" style="41"/>
    <col min="10743" max="10743" width="11.2258064516129" style="41" customWidth="1"/>
    <col min="10744" max="10744" width="30.5564516129032" style="41" customWidth="1"/>
    <col min="10745" max="10745" width="45.4354838709677" style="41" customWidth="1"/>
    <col min="10746" max="10746" width="10.2258064516129" style="41" customWidth="1"/>
    <col min="10747" max="10747" width="7.2258064516129" style="41" customWidth="1"/>
    <col min="10748" max="10748" width="11.2258064516129" style="41" customWidth="1"/>
    <col min="10749" max="10749" width="13.5564516129032" style="41" customWidth="1"/>
    <col min="10750" max="10750" width="24.7741935483871" style="41" customWidth="1"/>
    <col min="10751" max="10751" width="32.5564516129032" style="41" customWidth="1"/>
    <col min="10752" max="10752" width="15.2258064516129" style="41" customWidth="1"/>
    <col min="10753" max="10758" width="9" style="41"/>
    <col min="10759" max="10759" width="55.5564516129032" style="41" customWidth="1"/>
    <col min="10760" max="10998" width="9" style="41"/>
    <col min="10999" max="10999" width="11.2258064516129" style="41" customWidth="1"/>
    <col min="11000" max="11000" width="30.5564516129032" style="41" customWidth="1"/>
    <col min="11001" max="11001" width="45.4354838709677" style="41" customWidth="1"/>
    <col min="11002" max="11002" width="10.2258064516129" style="41" customWidth="1"/>
    <col min="11003" max="11003" width="7.2258064516129" style="41" customWidth="1"/>
    <col min="11004" max="11004" width="11.2258064516129" style="41" customWidth="1"/>
    <col min="11005" max="11005" width="13.5564516129032" style="41" customWidth="1"/>
    <col min="11006" max="11006" width="24.7741935483871" style="41" customWidth="1"/>
    <col min="11007" max="11007" width="32.5564516129032" style="41" customWidth="1"/>
    <col min="11008" max="11008" width="15.2258064516129" style="41" customWidth="1"/>
    <col min="11009" max="11014" width="9" style="41"/>
    <col min="11015" max="11015" width="55.5564516129032" style="41" customWidth="1"/>
    <col min="11016" max="11254" width="9" style="41"/>
    <col min="11255" max="11255" width="11.2258064516129" style="41" customWidth="1"/>
    <col min="11256" max="11256" width="30.5564516129032" style="41" customWidth="1"/>
    <col min="11257" max="11257" width="45.4354838709677" style="41" customWidth="1"/>
    <col min="11258" max="11258" width="10.2258064516129" style="41" customWidth="1"/>
    <col min="11259" max="11259" width="7.2258064516129" style="41" customWidth="1"/>
    <col min="11260" max="11260" width="11.2258064516129" style="41" customWidth="1"/>
    <col min="11261" max="11261" width="13.5564516129032" style="41" customWidth="1"/>
    <col min="11262" max="11262" width="24.7741935483871" style="41" customWidth="1"/>
    <col min="11263" max="11263" width="32.5564516129032" style="41" customWidth="1"/>
    <col min="11264" max="11264" width="15.2258064516129" style="41" customWidth="1"/>
    <col min="11265" max="11270" width="9" style="41"/>
    <col min="11271" max="11271" width="55.5564516129032" style="41" customWidth="1"/>
    <col min="11272" max="11510" width="9" style="41"/>
    <col min="11511" max="11511" width="11.2258064516129" style="41" customWidth="1"/>
    <col min="11512" max="11512" width="30.5564516129032" style="41" customWidth="1"/>
    <col min="11513" max="11513" width="45.4354838709677" style="41" customWidth="1"/>
    <col min="11514" max="11514" width="10.2258064516129" style="41" customWidth="1"/>
    <col min="11515" max="11515" width="7.2258064516129" style="41" customWidth="1"/>
    <col min="11516" max="11516" width="11.2258064516129" style="41" customWidth="1"/>
    <col min="11517" max="11517" width="13.5564516129032" style="41" customWidth="1"/>
    <col min="11518" max="11518" width="24.7741935483871" style="41" customWidth="1"/>
    <col min="11519" max="11519" width="32.5564516129032" style="41" customWidth="1"/>
    <col min="11520" max="11520" width="15.2258064516129" style="41" customWidth="1"/>
    <col min="11521" max="11526" width="9" style="41"/>
    <col min="11527" max="11527" width="55.5564516129032" style="41" customWidth="1"/>
    <col min="11528" max="11766" width="9" style="41"/>
    <col min="11767" max="11767" width="11.2258064516129" style="41" customWidth="1"/>
    <col min="11768" max="11768" width="30.5564516129032" style="41" customWidth="1"/>
    <col min="11769" max="11769" width="45.4354838709677" style="41" customWidth="1"/>
    <col min="11770" max="11770" width="10.2258064516129" style="41" customWidth="1"/>
    <col min="11771" max="11771" width="7.2258064516129" style="41" customWidth="1"/>
    <col min="11772" max="11772" width="11.2258064516129" style="41" customWidth="1"/>
    <col min="11773" max="11773" width="13.5564516129032" style="41" customWidth="1"/>
    <col min="11774" max="11774" width="24.7741935483871" style="41" customWidth="1"/>
    <col min="11775" max="11775" width="32.5564516129032" style="41" customWidth="1"/>
    <col min="11776" max="11776" width="15.2258064516129" style="41" customWidth="1"/>
    <col min="11777" max="11782" width="9" style="41"/>
    <col min="11783" max="11783" width="55.5564516129032" style="41" customWidth="1"/>
    <col min="11784" max="12022" width="9" style="41"/>
    <col min="12023" max="12023" width="11.2258064516129" style="41" customWidth="1"/>
    <col min="12024" max="12024" width="30.5564516129032" style="41" customWidth="1"/>
    <col min="12025" max="12025" width="45.4354838709677" style="41" customWidth="1"/>
    <col min="12026" max="12026" width="10.2258064516129" style="41" customWidth="1"/>
    <col min="12027" max="12027" width="7.2258064516129" style="41" customWidth="1"/>
    <col min="12028" max="12028" width="11.2258064516129" style="41" customWidth="1"/>
    <col min="12029" max="12029" width="13.5564516129032" style="41" customWidth="1"/>
    <col min="12030" max="12030" width="24.7741935483871" style="41" customWidth="1"/>
    <col min="12031" max="12031" width="32.5564516129032" style="41" customWidth="1"/>
    <col min="12032" max="12032" width="15.2258064516129" style="41" customWidth="1"/>
    <col min="12033" max="12038" width="9" style="41"/>
    <col min="12039" max="12039" width="55.5564516129032" style="41" customWidth="1"/>
    <col min="12040" max="12278" width="9" style="41"/>
    <col min="12279" max="12279" width="11.2258064516129" style="41" customWidth="1"/>
    <col min="12280" max="12280" width="30.5564516129032" style="41" customWidth="1"/>
    <col min="12281" max="12281" width="45.4354838709677" style="41" customWidth="1"/>
    <col min="12282" max="12282" width="10.2258064516129" style="41" customWidth="1"/>
    <col min="12283" max="12283" width="7.2258064516129" style="41" customWidth="1"/>
    <col min="12284" max="12284" width="11.2258064516129" style="41" customWidth="1"/>
    <col min="12285" max="12285" width="13.5564516129032" style="41" customWidth="1"/>
    <col min="12286" max="12286" width="24.7741935483871" style="41" customWidth="1"/>
    <col min="12287" max="12287" width="32.5564516129032" style="41" customWidth="1"/>
    <col min="12288" max="12288" width="15.2258064516129" style="41" customWidth="1"/>
    <col min="12289" max="12294" width="9" style="41"/>
    <col min="12295" max="12295" width="55.5564516129032" style="41" customWidth="1"/>
    <col min="12296" max="12534" width="9" style="41"/>
    <col min="12535" max="12535" width="11.2258064516129" style="41" customWidth="1"/>
    <col min="12536" max="12536" width="30.5564516129032" style="41" customWidth="1"/>
    <col min="12537" max="12537" width="45.4354838709677" style="41" customWidth="1"/>
    <col min="12538" max="12538" width="10.2258064516129" style="41" customWidth="1"/>
    <col min="12539" max="12539" width="7.2258064516129" style="41" customWidth="1"/>
    <col min="12540" max="12540" width="11.2258064516129" style="41" customWidth="1"/>
    <col min="12541" max="12541" width="13.5564516129032" style="41" customWidth="1"/>
    <col min="12542" max="12542" width="24.7741935483871" style="41" customWidth="1"/>
    <col min="12543" max="12543" width="32.5564516129032" style="41" customWidth="1"/>
    <col min="12544" max="12544" width="15.2258064516129" style="41" customWidth="1"/>
    <col min="12545" max="12550" width="9" style="41"/>
    <col min="12551" max="12551" width="55.5564516129032" style="41" customWidth="1"/>
    <col min="12552" max="12790" width="9" style="41"/>
    <col min="12791" max="12791" width="11.2258064516129" style="41" customWidth="1"/>
    <col min="12792" max="12792" width="30.5564516129032" style="41" customWidth="1"/>
    <col min="12793" max="12793" width="45.4354838709677" style="41" customWidth="1"/>
    <col min="12794" max="12794" width="10.2258064516129" style="41" customWidth="1"/>
    <col min="12795" max="12795" width="7.2258064516129" style="41" customWidth="1"/>
    <col min="12796" max="12796" width="11.2258064516129" style="41" customWidth="1"/>
    <col min="12797" max="12797" width="13.5564516129032" style="41" customWidth="1"/>
    <col min="12798" max="12798" width="24.7741935483871" style="41" customWidth="1"/>
    <col min="12799" max="12799" width="32.5564516129032" style="41" customWidth="1"/>
    <col min="12800" max="12800" width="15.2258064516129" style="41" customWidth="1"/>
    <col min="12801" max="12806" width="9" style="41"/>
    <col min="12807" max="12807" width="55.5564516129032" style="41" customWidth="1"/>
    <col min="12808" max="13046" width="9" style="41"/>
    <col min="13047" max="13047" width="11.2258064516129" style="41" customWidth="1"/>
    <col min="13048" max="13048" width="30.5564516129032" style="41" customWidth="1"/>
    <col min="13049" max="13049" width="45.4354838709677" style="41" customWidth="1"/>
    <col min="13050" max="13050" width="10.2258064516129" style="41" customWidth="1"/>
    <col min="13051" max="13051" width="7.2258064516129" style="41" customWidth="1"/>
    <col min="13052" max="13052" width="11.2258064516129" style="41" customWidth="1"/>
    <col min="13053" max="13053" width="13.5564516129032" style="41" customWidth="1"/>
    <col min="13054" max="13054" width="24.7741935483871" style="41" customWidth="1"/>
    <col min="13055" max="13055" width="32.5564516129032" style="41" customWidth="1"/>
    <col min="13056" max="13056" width="15.2258064516129" style="41" customWidth="1"/>
    <col min="13057" max="13062" width="9" style="41"/>
    <col min="13063" max="13063" width="55.5564516129032" style="41" customWidth="1"/>
    <col min="13064" max="13302" width="9" style="41"/>
    <col min="13303" max="13303" width="11.2258064516129" style="41" customWidth="1"/>
    <col min="13304" max="13304" width="30.5564516129032" style="41" customWidth="1"/>
    <col min="13305" max="13305" width="45.4354838709677" style="41" customWidth="1"/>
    <col min="13306" max="13306" width="10.2258064516129" style="41" customWidth="1"/>
    <col min="13307" max="13307" width="7.2258064516129" style="41" customWidth="1"/>
    <col min="13308" max="13308" width="11.2258064516129" style="41" customWidth="1"/>
    <col min="13309" max="13309" width="13.5564516129032" style="41" customWidth="1"/>
    <col min="13310" max="13310" width="24.7741935483871" style="41" customWidth="1"/>
    <col min="13311" max="13311" width="32.5564516129032" style="41" customWidth="1"/>
    <col min="13312" max="13312" width="15.2258064516129" style="41" customWidth="1"/>
    <col min="13313" max="13318" width="9" style="41"/>
    <col min="13319" max="13319" width="55.5564516129032" style="41" customWidth="1"/>
    <col min="13320" max="13558" width="9" style="41"/>
    <col min="13559" max="13559" width="11.2258064516129" style="41" customWidth="1"/>
    <col min="13560" max="13560" width="30.5564516129032" style="41" customWidth="1"/>
    <col min="13561" max="13561" width="45.4354838709677" style="41" customWidth="1"/>
    <col min="13562" max="13562" width="10.2258064516129" style="41" customWidth="1"/>
    <col min="13563" max="13563" width="7.2258064516129" style="41" customWidth="1"/>
    <col min="13564" max="13564" width="11.2258064516129" style="41" customWidth="1"/>
    <col min="13565" max="13565" width="13.5564516129032" style="41" customWidth="1"/>
    <col min="13566" max="13566" width="24.7741935483871" style="41" customWidth="1"/>
    <col min="13567" max="13567" width="32.5564516129032" style="41" customWidth="1"/>
    <col min="13568" max="13568" width="15.2258064516129" style="41" customWidth="1"/>
    <col min="13569" max="13574" width="9" style="41"/>
    <col min="13575" max="13575" width="55.5564516129032" style="41" customWidth="1"/>
    <col min="13576" max="13814" width="9" style="41"/>
    <col min="13815" max="13815" width="11.2258064516129" style="41" customWidth="1"/>
    <col min="13816" max="13816" width="30.5564516129032" style="41" customWidth="1"/>
    <col min="13817" max="13817" width="45.4354838709677" style="41" customWidth="1"/>
    <col min="13818" max="13818" width="10.2258064516129" style="41" customWidth="1"/>
    <col min="13819" max="13819" width="7.2258064516129" style="41" customWidth="1"/>
    <col min="13820" max="13820" width="11.2258064516129" style="41" customWidth="1"/>
    <col min="13821" max="13821" width="13.5564516129032" style="41" customWidth="1"/>
    <col min="13822" max="13822" width="24.7741935483871" style="41" customWidth="1"/>
    <col min="13823" max="13823" width="32.5564516129032" style="41" customWidth="1"/>
    <col min="13824" max="13824" width="15.2258064516129" style="41" customWidth="1"/>
    <col min="13825" max="13830" width="9" style="41"/>
    <col min="13831" max="13831" width="55.5564516129032" style="41" customWidth="1"/>
    <col min="13832" max="14070" width="9" style="41"/>
    <col min="14071" max="14071" width="11.2258064516129" style="41" customWidth="1"/>
    <col min="14072" max="14072" width="30.5564516129032" style="41" customWidth="1"/>
    <col min="14073" max="14073" width="45.4354838709677" style="41" customWidth="1"/>
    <col min="14074" max="14074" width="10.2258064516129" style="41" customWidth="1"/>
    <col min="14075" max="14075" width="7.2258064516129" style="41" customWidth="1"/>
    <col min="14076" max="14076" width="11.2258064516129" style="41" customWidth="1"/>
    <col min="14077" max="14077" width="13.5564516129032" style="41" customWidth="1"/>
    <col min="14078" max="14078" width="24.7741935483871" style="41" customWidth="1"/>
    <col min="14079" max="14079" width="32.5564516129032" style="41" customWidth="1"/>
    <col min="14080" max="14080" width="15.2258064516129" style="41" customWidth="1"/>
    <col min="14081" max="14086" width="9" style="41"/>
    <col min="14087" max="14087" width="55.5564516129032" style="41" customWidth="1"/>
    <col min="14088" max="14326" width="9" style="41"/>
    <col min="14327" max="14327" width="11.2258064516129" style="41" customWidth="1"/>
    <col min="14328" max="14328" width="30.5564516129032" style="41" customWidth="1"/>
    <col min="14329" max="14329" width="45.4354838709677" style="41" customWidth="1"/>
    <col min="14330" max="14330" width="10.2258064516129" style="41" customWidth="1"/>
    <col min="14331" max="14331" width="7.2258064516129" style="41" customWidth="1"/>
    <col min="14332" max="14332" width="11.2258064516129" style="41" customWidth="1"/>
    <col min="14333" max="14333" width="13.5564516129032" style="41" customWidth="1"/>
    <col min="14334" max="14334" width="24.7741935483871" style="41" customWidth="1"/>
    <col min="14335" max="14335" width="32.5564516129032" style="41" customWidth="1"/>
    <col min="14336" max="14336" width="15.2258064516129" style="41" customWidth="1"/>
    <col min="14337" max="14342" width="9" style="41"/>
    <col min="14343" max="14343" width="55.5564516129032" style="41" customWidth="1"/>
    <col min="14344" max="14582" width="9" style="41"/>
    <col min="14583" max="14583" width="11.2258064516129" style="41" customWidth="1"/>
    <col min="14584" max="14584" width="30.5564516129032" style="41" customWidth="1"/>
    <col min="14585" max="14585" width="45.4354838709677" style="41" customWidth="1"/>
    <col min="14586" max="14586" width="10.2258064516129" style="41" customWidth="1"/>
    <col min="14587" max="14587" width="7.2258064516129" style="41" customWidth="1"/>
    <col min="14588" max="14588" width="11.2258064516129" style="41" customWidth="1"/>
    <col min="14589" max="14589" width="13.5564516129032" style="41" customWidth="1"/>
    <col min="14590" max="14590" width="24.7741935483871" style="41" customWidth="1"/>
    <col min="14591" max="14591" width="32.5564516129032" style="41" customWidth="1"/>
    <col min="14592" max="14592" width="15.2258064516129" style="41" customWidth="1"/>
    <col min="14593" max="14598" width="9" style="41"/>
    <col min="14599" max="14599" width="55.5564516129032" style="41" customWidth="1"/>
    <col min="14600" max="14838" width="9" style="41"/>
    <col min="14839" max="14839" width="11.2258064516129" style="41" customWidth="1"/>
    <col min="14840" max="14840" width="30.5564516129032" style="41" customWidth="1"/>
    <col min="14841" max="14841" width="45.4354838709677" style="41" customWidth="1"/>
    <col min="14842" max="14842" width="10.2258064516129" style="41" customWidth="1"/>
    <col min="14843" max="14843" width="7.2258064516129" style="41" customWidth="1"/>
    <col min="14844" max="14844" width="11.2258064516129" style="41" customWidth="1"/>
    <col min="14845" max="14845" width="13.5564516129032" style="41" customWidth="1"/>
    <col min="14846" max="14846" width="24.7741935483871" style="41" customWidth="1"/>
    <col min="14847" max="14847" width="32.5564516129032" style="41" customWidth="1"/>
    <col min="14848" max="14848" width="15.2258064516129" style="41" customWidth="1"/>
    <col min="14849" max="14854" width="9" style="41"/>
    <col min="14855" max="14855" width="55.5564516129032" style="41" customWidth="1"/>
    <col min="14856" max="15094" width="9" style="41"/>
    <col min="15095" max="15095" width="11.2258064516129" style="41" customWidth="1"/>
    <col min="15096" max="15096" width="30.5564516129032" style="41" customWidth="1"/>
    <col min="15097" max="15097" width="45.4354838709677" style="41" customWidth="1"/>
    <col min="15098" max="15098" width="10.2258064516129" style="41" customWidth="1"/>
    <col min="15099" max="15099" width="7.2258064516129" style="41" customWidth="1"/>
    <col min="15100" max="15100" width="11.2258064516129" style="41" customWidth="1"/>
    <col min="15101" max="15101" width="13.5564516129032" style="41" customWidth="1"/>
    <col min="15102" max="15102" width="24.7741935483871" style="41" customWidth="1"/>
    <col min="15103" max="15103" width="32.5564516129032" style="41" customWidth="1"/>
    <col min="15104" max="15104" width="15.2258064516129" style="41" customWidth="1"/>
    <col min="15105" max="15110" width="9" style="41"/>
    <col min="15111" max="15111" width="55.5564516129032" style="41" customWidth="1"/>
    <col min="15112" max="15350" width="9" style="41"/>
    <col min="15351" max="15351" width="11.2258064516129" style="41" customWidth="1"/>
    <col min="15352" max="15352" width="30.5564516129032" style="41" customWidth="1"/>
    <col min="15353" max="15353" width="45.4354838709677" style="41" customWidth="1"/>
    <col min="15354" max="15354" width="10.2258064516129" style="41" customWidth="1"/>
    <col min="15355" max="15355" width="7.2258064516129" style="41" customWidth="1"/>
    <col min="15356" max="15356" width="11.2258064516129" style="41" customWidth="1"/>
    <col min="15357" max="15357" width="13.5564516129032" style="41" customWidth="1"/>
    <col min="15358" max="15358" width="24.7741935483871" style="41" customWidth="1"/>
    <col min="15359" max="15359" width="32.5564516129032" style="41" customWidth="1"/>
    <col min="15360" max="15360" width="15.2258064516129" style="41" customWidth="1"/>
    <col min="15361" max="15366" width="9" style="41"/>
    <col min="15367" max="15367" width="55.5564516129032" style="41" customWidth="1"/>
    <col min="15368" max="15606" width="9" style="41"/>
    <col min="15607" max="15607" width="11.2258064516129" style="41" customWidth="1"/>
    <col min="15608" max="15608" width="30.5564516129032" style="41" customWidth="1"/>
    <col min="15609" max="15609" width="45.4354838709677" style="41" customWidth="1"/>
    <col min="15610" max="15610" width="10.2258064516129" style="41" customWidth="1"/>
    <col min="15611" max="15611" width="7.2258064516129" style="41" customWidth="1"/>
    <col min="15612" max="15612" width="11.2258064516129" style="41" customWidth="1"/>
    <col min="15613" max="15613" width="13.5564516129032" style="41" customWidth="1"/>
    <col min="15614" max="15614" width="24.7741935483871" style="41" customWidth="1"/>
    <col min="15615" max="15615" width="32.5564516129032" style="41" customWidth="1"/>
    <col min="15616" max="15616" width="15.2258064516129" style="41" customWidth="1"/>
    <col min="15617" max="15622" width="9" style="41"/>
    <col min="15623" max="15623" width="55.5564516129032" style="41" customWidth="1"/>
    <col min="15624" max="15862" width="9" style="41"/>
    <col min="15863" max="15863" width="11.2258064516129" style="41" customWidth="1"/>
    <col min="15864" max="15864" width="30.5564516129032" style="41" customWidth="1"/>
    <col min="15865" max="15865" width="45.4354838709677" style="41" customWidth="1"/>
    <col min="15866" max="15866" width="10.2258064516129" style="41" customWidth="1"/>
    <col min="15867" max="15867" width="7.2258064516129" style="41" customWidth="1"/>
    <col min="15868" max="15868" width="11.2258064516129" style="41" customWidth="1"/>
    <col min="15869" max="15869" width="13.5564516129032" style="41" customWidth="1"/>
    <col min="15870" max="15870" width="24.7741935483871" style="41" customWidth="1"/>
    <col min="15871" max="15871" width="32.5564516129032" style="41" customWidth="1"/>
    <col min="15872" max="15872" width="15.2258064516129" style="41" customWidth="1"/>
    <col min="15873" max="15878" width="9" style="41"/>
    <col min="15879" max="15879" width="55.5564516129032" style="41" customWidth="1"/>
    <col min="15880" max="16118" width="9" style="41"/>
    <col min="16119" max="16119" width="11.2258064516129" style="41" customWidth="1"/>
    <col min="16120" max="16120" width="30.5564516129032" style="41" customWidth="1"/>
    <col min="16121" max="16121" width="45.4354838709677" style="41" customWidth="1"/>
    <col min="16122" max="16122" width="10.2258064516129" style="41" customWidth="1"/>
    <col min="16123" max="16123" width="7.2258064516129" style="41" customWidth="1"/>
    <col min="16124" max="16124" width="11.2258064516129" style="41" customWidth="1"/>
    <col min="16125" max="16125" width="13.5564516129032" style="41" customWidth="1"/>
    <col min="16126" max="16126" width="24.7741935483871" style="41" customWidth="1"/>
    <col min="16127" max="16127" width="32.5564516129032" style="41" customWidth="1"/>
    <col min="16128" max="16128" width="15.2258064516129" style="41" customWidth="1"/>
    <col min="16129" max="16134" width="9" style="41"/>
    <col min="16135" max="16135" width="55.5564516129032" style="41" customWidth="1"/>
    <col min="16136" max="16374" width="9" style="41"/>
    <col min="16375" max="16381" width="9" style="41" customWidth="1"/>
    <col min="16382" max="16384" width="9" style="41"/>
  </cols>
  <sheetData>
    <row r="1" ht="79.95" customHeight="1" spans="1:6">
      <c r="A1" s="42" t="s">
        <v>0</v>
      </c>
      <c r="B1" s="43"/>
      <c r="C1" s="43"/>
      <c r="D1" s="43"/>
      <c r="E1" s="43"/>
      <c r="F1" s="43"/>
    </row>
    <row r="2" ht="56.55" customHeight="1" spans="1:8">
      <c r="A2" s="44" t="s">
        <v>1</v>
      </c>
      <c r="B2" s="45"/>
      <c r="C2" s="45"/>
      <c r="D2" s="45"/>
      <c r="E2" s="45"/>
      <c r="F2" s="45"/>
      <c r="H2" s="41" t="s">
        <v>2</v>
      </c>
    </row>
    <row r="3" s="36" customFormat="1" ht="19.1" spans="1:6">
      <c r="A3" s="83"/>
      <c r="B3" s="84"/>
      <c r="C3" s="84"/>
      <c r="D3" s="84"/>
      <c r="E3" s="84"/>
      <c r="F3" s="53" t="s">
        <v>3</v>
      </c>
    </row>
    <row r="4" s="36" customFormat="1" ht="19.1" spans="1:7">
      <c r="A4" s="84"/>
      <c r="B4" s="84"/>
      <c r="C4" s="84"/>
      <c r="D4" s="84"/>
      <c r="E4" s="84"/>
      <c r="F4" s="53" t="s">
        <v>4</v>
      </c>
      <c r="G4" s="79"/>
    </row>
    <row r="5" s="36" customFormat="1" ht="103.05" customHeight="1" spans="1:7">
      <c r="A5" s="50" t="s">
        <v>5</v>
      </c>
      <c r="B5" s="51" t="s">
        <v>6</v>
      </c>
      <c r="C5" s="51"/>
      <c r="D5" s="51"/>
      <c r="E5" s="51"/>
      <c r="F5" s="51"/>
      <c r="G5" s="80"/>
    </row>
    <row r="6" s="36" customFormat="1" ht="103.05" customHeight="1" spans="1:13">
      <c r="A6" s="50" t="s">
        <v>7</v>
      </c>
      <c r="B6" s="85" t="s">
        <v>8</v>
      </c>
      <c r="C6" s="51"/>
      <c r="D6" s="51"/>
      <c r="E6" s="51"/>
      <c r="F6" s="51"/>
      <c r="G6" s="107"/>
      <c r="H6" s="107"/>
      <c r="I6" s="107"/>
      <c r="J6" s="107"/>
      <c r="K6" s="107"/>
      <c r="L6" s="107"/>
      <c r="M6" s="107"/>
    </row>
    <row r="7" s="36" customFormat="1" ht="67.5" customHeight="1" spans="1:13">
      <c r="A7" s="51" t="s">
        <v>9</v>
      </c>
      <c r="B7" s="53"/>
      <c r="C7" s="53"/>
      <c r="D7" s="53"/>
      <c r="E7" s="53"/>
      <c r="F7" s="53"/>
      <c r="G7" s="108"/>
      <c r="H7" s="108"/>
      <c r="I7" s="108"/>
      <c r="J7" s="108"/>
      <c r="K7" s="108"/>
      <c r="L7" s="107"/>
      <c r="M7" s="107"/>
    </row>
    <row r="8" s="36" customFormat="1" ht="63.7" spans="1:13">
      <c r="A8" s="54" t="s">
        <v>10</v>
      </c>
      <c r="B8" s="86" t="s">
        <v>11</v>
      </c>
      <c r="C8" s="86" t="s">
        <v>12</v>
      </c>
      <c r="D8" s="54" t="s">
        <v>13</v>
      </c>
      <c r="E8" s="54" t="s">
        <v>14</v>
      </c>
      <c r="F8" s="54" t="s">
        <v>15</v>
      </c>
      <c r="G8" s="108"/>
      <c r="H8" s="108"/>
      <c r="I8" s="108"/>
      <c r="J8" s="108"/>
      <c r="K8" s="108"/>
      <c r="L8" s="113"/>
      <c r="M8" s="114"/>
    </row>
    <row r="9" s="36" customFormat="1" ht="39" customHeight="1" spans="1:13">
      <c r="A9" s="55">
        <v>1</v>
      </c>
      <c r="B9" s="54" t="s">
        <v>16</v>
      </c>
      <c r="C9" s="56" t="s">
        <v>17</v>
      </c>
      <c r="D9" s="87">
        <v>2</v>
      </c>
      <c r="E9" s="98">
        <v>5000</v>
      </c>
      <c r="F9" s="98">
        <f t="shared" ref="F9:F15" si="0">ROUNDUP(E9*D9,1)</f>
        <v>10000</v>
      </c>
      <c r="G9" s="109"/>
      <c r="H9" s="108"/>
      <c r="I9" s="109"/>
      <c r="J9" s="109"/>
      <c r="K9" s="109"/>
      <c r="L9" s="107"/>
      <c r="M9" s="107"/>
    </row>
    <row r="10" s="37" customFormat="1" ht="30" customHeight="1" spans="1:13">
      <c r="A10" s="55">
        <v>2</v>
      </c>
      <c r="B10" s="54" t="s">
        <v>18</v>
      </c>
      <c r="C10" s="56" t="s">
        <v>19</v>
      </c>
      <c r="D10" s="87">
        <v>1</v>
      </c>
      <c r="E10" s="98">
        <v>7000</v>
      </c>
      <c r="F10" s="98">
        <f t="shared" si="0"/>
        <v>7000</v>
      </c>
      <c r="G10" s="109"/>
      <c r="H10" s="108"/>
      <c r="I10" s="109"/>
      <c r="J10" s="109"/>
      <c r="K10" s="109"/>
      <c r="L10" s="81"/>
      <c r="M10" s="81"/>
    </row>
    <row r="11" s="37" customFormat="1" ht="30" customHeight="1" spans="1:13">
      <c r="A11" s="55">
        <v>3</v>
      </c>
      <c r="B11" s="57" t="s">
        <v>20</v>
      </c>
      <c r="C11" s="56" t="s">
        <v>21</v>
      </c>
      <c r="D11" s="87">
        <v>3</v>
      </c>
      <c r="E11" s="98">
        <v>400</v>
      </c>
      <c r="F11" s="98">
        <f t="shared" si="0"/>
        <v>1200</v>
      </c>
      <c r="G11" s="109"/>
      <c r="H11" s="108"/>
      <c r="I11" s="109"/>
      <c r="J11" s="109"/>
      <c r="K11" s="109"/>
      <c r="L11" s="81"/>
      <c r="M11" s="81"/>
    </row>
    <row r="12" s="37" customFormat="1" ht="30" customHeight="1" spans="1:13">
      <c r="A12" s="55">
        <v>4</v>
      </c>
      <c r="B12" s="57" t="s">
        <v>22</v>
      </c>
      <c r="C12" s="56" t="s">
        <v>23</v>
      </c>
      <c r="D12" s="87">
        <v>22.8</v>
      </c>
      <c r="E12" s="98">
        <v>90</v>
      </c>
      <c r="F12" s="98">
        <f t="shared" si="0"/>
        <v>2052</v>
      </c>
      <c r="G12" s="109"/>
      <c r="H12" s="108"/>
      <c r="I12" s="109"/>
      <c r="J12" s="109"/>
      <c r="K12" s="109"/>
      <c r="L12" s="81"/>
      <c r="M12" s="81"/>
    </row>
    <row r="13" s="37" customFormat="1" ht="30" customHeight="1" spans="1:13">
      <c r="A13" s="55">
        <v>5</v>
      </c>
      <c r="B13" s="57" t="s">
        <v>24</v>
      </c>
      <c r="C13" s="56" t="s">
        <v>25</v>
      </c>
      <c r="D13" s="87">
        <v>1</v>
      </c>
      <c r="E13" s="98">
        <v>1400</v>
      </c>
      <c r="F13" s="98">
        <f t="shared" si="0"/>
        <v>1400</v>
      </c>
      <c r="G13" s="109"/>
      <c r="H13" s="108"/>
      <c r="I13" s="109"/>
      <c r="J13" s="109"/>
      <c r="K13" s="109"/>
      <c r="L13" s="81"/>
      <c r="M13" s="81"/>
    </row>
    <row r="14" s="37" customFormat="1" ht="30" customHeight="1" spans="1:13">
      <c r="A14" s="55">
        <v>6</v>
      </c>
      <c r="B14" s="57" t="s">
        <v>26</v>
      </c>
      <c r="C14" s="56" t="s">
        <v>27</v>
      </c>
      <c r="D14" s="87">
        <v>1</v>
      </c>
      <c r="E14" s="98">
        <v>3000</v>
      </c>
      <c r="F14" s="98">
        <f t="shared" si="0"/>
        <v>3000</v>
      </c>
      <c r="G14" s="109"/>
      <c r="H14" s="108"/>
      <c r="I14" s="109"/>
      <c r="J14" s="109"/>
      <c r="K14" s="109"/>
      <c r="L14" s="81"/>
      <c r="M14" s="81"/>
    </row>
    <row r="15" s="37" customFormat="1" ht="30" customHeight="1" spans="1:13">
      <c r="A15" s="55">
        <v>7</v>
      </c>
      <c r="B15" s="57" t="s">
        <v>28</v>
      </c>
      <c r="C15" s="56" t="s">
        <v>29</v>
      </c>
      <c r="D15" s="87">
        <v>232</v>
      </c>
      <c r="E15" s="98">
        <v>13</v>
      </c>
      <c r="F15" s="98">
        <f t="shared" si="0"/>
        <v>3016</v>
      </c>
      <c r="G15" s="109"/>
      <c r="H15" s="108"/>
      <c r="I15" s="109"/>
      <c r="J15" s="109"/>
      <c r="K15" s="109"/>
      <c r="L15" s="81"/>
      <c r="M15" s="81"/>
    </row>
    <row r="16" s="37" customFormat="1" ht="30" customHeight="1" spans="1:13">
      <c r="A16" s="88" t="s">
        <v>30</v>
      </c>
      <c r="B16" s="89"/>
      <c r="C16" s="89"/>
      <c r="D16" s="87">
        <f>SUM(D9:D15)</f>
        <v>262.8</v>
      </c>
      <c r="E16" s="110"/>
      <c r="F16" s="111">
        <f>SUM(F9:F15)</f>
        <v>27668</v>
      </c>
      <c r="G16" s="112"/>
      <c r="H16" s="112"/>
      <c r="I16" s="112"/>
      <c r="J16" s="112"/>
      <c r="K16" s="112"/>
      <c r="L16" s="81"/>
      <c r="M16" s="81"/>
    </row>
    <row r="17" s="37" customFormat="1" ht="26.55" customHeight="1" spans="1:13">
      <c r="A17" s="90" t="s">
        <v>31</v>
      </c>
      <c r="B17" s="91"/>
      <c r="C17" s="91"/>
      <c r="D17" s="91"/>
      <c r="E17" s="91"/>
      <c r="F17" s="101"/>
      <c r="G17" s="109"/>
      <c r="H17" s="108"/>
      <c r="I17" s="109"/>
      <c r="J17" s="109"/>
      <c r="K17" s="109"/>
      <c r="L17" s="81"/>
      <c r="M17" s="81"/>
    </row>
    <row r="18" s="82" customFormat="1" ht="26.55" customHeight="1" spans="1:13">
      <c r="A18" s="92" t="s">
        <v>32</v>
      </c>
      <c r="B18" s="93"/>
      <c r="C18" s="93"/>
      <c r="D18" s="93"/>
      <c r="E18" s="93"/>
      <c r="F18" s="102"/>
      <c r="G18" s="112"/>
      <c r="H18" s="112"/>
      <c r="I18" s="112"/>
      <c r="J18" s="112"/>
      <c r="K18" s="112"/>
      <c r="L18" s="81"/>
      <c r="M18" s="81"/>
    </row>
    <row r="19" s="38" customFormat="1" ht="26.55" customHeight="1" spans="1:11">
      <c r="A19" s="92" t="s">
        <v>33</v>
      </c>
      <c r="B19" s="93"/>
      <c r="C19" s="93"/>
      <c r="D19" s="93"/>
      <c r="E19" s="93"/>
      <c r="F19" s="102"/>
      <c r="G19" s="109"/>
      <c r="H19" s="108"/>
      <c r="I19" s="109"/>
      <c r="J19" s="109"/>
      <c r="K19" s="109"/>
    </row>
    <row r="20" s="38" customFormat="1" ht="26.55" customHeight="1" spans="1:11">
      <c r="A20" s="92" t="s">
        <v>34</v>
      </c>
      <c r="B20" s="93"/>
      <c r="C20" s="93"/>
      <c r="D20" s="93"/>
      <c r="E20" s="93"/>
      <c r="F20" s="102"/>
      <c r="G20" s="109"/>
      <c r="H20" s="108"/>
      <c r="I20" s="109"/>
      <c r="J20" s="109"/>
      <c r="K20" s="109"/>
    </row>
    <row r="21" s="38" customFormat="1" ht="26.55" customHeight="1" spans="1:11">
      <c r="A21" s="92" t="s">
        <v>35</v>
      </c>
      <c r="B21" s="93"/>
      <c r="C21" s="93"/>
      <c r="D21" s="93"/>
      <c r="E21" s="93"/>
      <c r="F21" s="102"/>
      <c r="G21" s="109"/>
      <c r="H21" s="108"/>
      <c r="I21" s="109"/>
      <c r="J21" s="109"/>
      <c r="K21" s="109"/>
    </row>
    <row r="22" s="38" customFormat="1" ht="19.1" spans="1:18">
      <c r="A22" s="92"/>
      <c r="B22" s="93"/>
      <c r="C22" s="93"/>
      <c r="D22" s="93"/>
      <c r="E22" s="93"/>
      <c r="F22" s="102"/>
      <c r="H22" s="39"/>
      <c r="I22" s="39"/>
      <c r="J22" s="39"/>
      <c r="K22" s="39"/>
      <c r="L22" s="39"/>
      <c r="M22" s="39"/>
      <c r="N22" s="39"/>
      <c r="O22" s="39"/>
      <c r="P22" s="39"/>
      <c r="Q22" s="39"/>
      <c r="R22" s="39"/>
    </row>
    <row r="23" s="38" customFormat="1" ht="19.95" customHeight="1" spans="1:18">
      <c r="A23" s="94" t="s">
        <v>36</v>
      </c>
      <c r="B23" s="95"/>
      <c r="C23" s="93"/>
      <c r="D23" s="93"/>
      <c r="E23" s="93"/>
      <c r="F23" s="102"/>
      <c r="H23" s="39"/>
      <c r="I23" s="39"/>
      <c r="J23" s="39"/>
      <c r="K23" s="39"/>
      <c r="L23" s="39"/>
      <c r="M23" s="39"/>
      <c r="N23" s="39"/>
      <c r="O23" s="39"/>
      <c r="P23" s="39"/>
      <c r="Q23" s="39"/>
      <c r="R23" s="39"/>
    </row>
    <row r="24" s="38" customFormat="1" ht="19.1" spans="1:18">
      <c r="A24" s="94"/>
      <c r="B24" s="95"/>
      <c r="C24" s="93"/>
      <c r="D24" s="93"/>
      <c r="E24" s="93"/>
      <c r="F24" s="102"/>
      <c r="H24" s="39"/>
      <c r="I24" s="39"/>
      <c r="J24" s="39"/>
      <c r="K24" s="39"/>
      <c r="L24" s="39"/>
      <c r="M24" s="39"/>
      <c r="N24" s="39"/>
      <c r="O24" s="39"/>
      <c r="P24" s="39"/>
      <c r="Q24" s="39"/>
      <c r="R24" s="39"/>
    </row>
    <row r="25" s="38" customFormat="1" ht="17.85" spans="1:18">
      <c r="A25" s="96" t="s">
        <v>37</v>
      </c>
      <c r="B25" s="97"/>
      <c r="C25" s="97"/>
      <c r="D25" s="97"/>
      <c r="E25" s="97"/>
      <c r="F25" s="104"/>
      <c r="H25" s="39"/>
      <c r="I25" s="106"/>
      <c r="J25" s="106"/>
      <c r="K25" s="106"/>
      <c r="L25" s="106"/>
      <c r="M25" s="106"/>
      <c r="N25" s="106"/>
      <c r="O25" s="106"/>
      <c r="P25" s="106"/>
      <c r="Q25" s="106"/>
      <c r="R25" s="39"/>
    </row>
    <row r="26" s="38" customFormat="1" ht="17.85" spans="1:18">
      <c r="A26" s="96" t="s">
        <v>38</v>
      </c>
      <c r="B26" s="97"/>
      <c r="C26" s="97"/>
      <c r="D26" s="97"/>
      <c r="E26" s="97"/>
      <c r="F26" s="104"/>
      <c r="H26" s="39"/>
      <c r="I26" s="106"/>
      <c r="J26" s="106"/>
      <c r="K26" s="106"/>
      <c r="L26" s="106"/>
      <c r="M26" s="106"/>
      <c r="N26" s="106"/>
      <c r="O26" s="106"/>
      <c r="P26" s="106"/>
      <c r="Q26" s="106"/>
      <c r="R26" s="39"/>
    </row>
    <row r="27" s="38" customFormat="1" ht="17.85" spans="1:18">
      <c r="A27" s="96" t="s">
        <v>39</v>
      </c>
      <c r="B27" s="97"/>
      <c r="C27" s="97"/>
      <c r="D27" s="97"/>
      <c r="E27" s="97"/>
      <c r="F27" s="104"/>
      <c r="H27" s="39"/>
      <c r="I27" s="106"/>
      <c r="J27" s="106"/>
      <c r="K27" s="106"/>
      <c r="L27" s="106"/>
      <c r="M27" s="106"/>
      <c r="N27" s="106"/>
      <c r="O27" s="106"/>
      <c r="P27" s="106"/>
      <c r="Q27" s="106"/>
      <c r="R27" s="39"/>
    </row>
    <row r="28" s="38" customFormat="1" ht="17.85" spans="1:18">
      <c r="A28" s="96" t="s">
        <v>40</v>
      </c>
      <c r="B28" s="97"/>
      <c r="C28" s="97"/>
      <c r="D28" s="97"/>
      <c r="E28" s="97"/>
      <c r="F28" s="104"/>
      <c r="H28" s="39"/>
      <c r="I28" s="106"/>
      <c r="J28" s="106"/>
      <c r="K28" s="106"/>
      <c r="L28" s="106"/>
      <c r="M28" s="106"/>
      <c r="N28" s="106"/>
      <c r="O28" s="106"/>
      <c r="P28" s="106"/>
      <c r="Q28" s="106"/>
      <c r="R28" s="39"/>
    </row>
    <row r="29" s="38" customFormat="1" ht="21" customHeight="1" spans="1:18">
      <c r="A29" s="96" t="s">
        <v>41</v>
      </c>
      <c r="B29" s="97"/>
      <c r="C29" s="97"/>
      <c r="D29" s="97"/>
      <c r="E29" s="97"/>
      <c r="F29" s="104"/>
      <c r="H29" s="39"/>
      <c r="I29" s="106"/>
      <c r="J29" s="106"/>
      <c r="K29" s="106"/>
      <c r="L29" s="106"/>
      <c r="M29" s="106"/>
      <c r="N29" s="106"/>
      <c r="O29" s="106"/>
      <c r="P29" s="106"/>
      <c r="Q29" s="106"/>
      <c r="R29" s="39"/>
    </row>
    <row r="30" s="38" customFormat="1" ht="19.1" spans="1:6">
      <c r="A30" s="92"/>
      <c r="B30" s="93"/>
      <c r="C30" s="93"/>
      <c r="D30" s="93"/>
      <c r="E30" s="93"/>
      <c r="F30" s="102"/>
    </row>
    <row r="31" s="38" customFormat="1" ht="19.1" spans="1:6">
      <c r="A31" s="92"/>
      <c r="B31" s="93"/>
      <c r="C31" s="93"/>
      <c r="D31" s="93"/>
      <c r="E31" s="93"/>
      <c r="F31" s="102"/>
    </row>
    <row r="32" s="38" customFormat="1" ht="19.1" spans="1:6">
      <c r="A32" s="92"/>
      <c r="B32" s="93"/>
      <c r="C32" s="93"/>
      <c r="D32" s="93"/>
      <c r="E32" s="93"/>
      <c r="F32" s="102"/>
    </row>
    <row r="33" s="38" customFormat="1" ht="19.1" spans="1:6">
      <c r="A33" s="62"/>
      <c r="B33" s="64"/>
      <c r="C33" s="64"/>
      <c r="D33" s="64"/>
      <c r="E33" s="64"/>
      <c r="F33" s="105"/>
    </row>
    <row r="34" s="38" customFormat="1" ht="19.1" spans="1:6">
      <c r="A34" s="59" t="s">
        <v>42</v>
      </c>
      <c r="B34" s="61"/>
      <c r="C34" s="61"/>
      <c r="D34" s="73" t="s">
        <v>43</v>
      </c>
      <c r="E34" s="74"/>
      <c r="F34" s="75"/>
    </row>
    <row r="35" s="39" customFormat="1" ht="109.5" customHeight="1" spans="1:6">
      <c r="A35" s="62" t="str">
        <f>B5</f>
        <v>上海捷淞国际物流有限公司
JIESONG INTERNATIONAL LOGISTICS CO., LTD
C / F, 888 Huanhu West second Road, Lingang New District, China (Shanghai) Free Trade Experimental Zone / 201306</v>
      </c>
      <c r="B35" s="64"/>
      <c r="C35" s="64"/>
      <c r="D35" s="76" t="str">
        <f>B6</f>
        <v>Sp food trading LLC</v>
      </c>
      <c r="E35" s="77"/>
      <c r="F35" s="78"/>
    </row>
    <row r="36" s="36" customFormat="1" spans="1:6">
      <c r="A36" s="65"/>
      <c r="B36" s="65"/>
      <c r="C36" s="65"/>
      <c r="D36" s="65"/>
      <c r="E36" s="65"/>
      <c r="F36" s="65"/>
    </row>
  </sheetData>
  <mergeCells count="22">
    <mergeCell ref="A1:F1"/>
    <mergeCell ref="A2:F2"/>
    <mergeCell ref="B5:F5"/>
    <mergeCell ref="B6:F6"/>
    <mergeCell ref="A7:F7"/>
    <mergeCell ref="A16:C16"/>
    <mergeCell ref="A17:F17"/>
    <mergeCell ref="A18:F18"/>
    <mergeCell ref="A19:F19"/>
    <mergeCell ref="A20:F20"/>
    <mergeCell ref="A21:F21"/>
    <mergeCell ref="A25:F25"/>
    <mergeCell ref="A26:F26"/>
    <mergeCell ref="A27:F27"/>
    <mergeCell ref="A28:F28"/>
    <mergeCell ref="A29:F29"/>
    <mergeCell ref="A34:C34"/>
    <mergeCell ref="D34:F34"/>
    <mergeCell ref="A35:C35"/>
    <mergeCell ref="D35:F35"/>
    <mergeCell ref="A3:E4"/>
    <mergeCell ref="A23:B24"/>
  </mergeCells>
  <pageMargins left="0.699305555555556" right="0.699305555555556" top="0.75" bottom="0.75" header="0.3" footer="0.3"/>
  <pageSetup paperSize="9" scale="43"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1"/>
  </sheetPr>
  <dimension ref="A1:X36"/>
  <sheetViews>
    <sheetView zoomScale="84" zoomScaleNormal="84" topLeftCell="A6" workbookViewId="0">
      <selection activeCell="B9" sqref="B9:B15"/>
    </sheetView>
  </sheetViews>
  <sheetFormatPr defaultColWidth="8.70967741935484" defaultRowHeight="16.45"/>
  <cols>
    <col min="1" max="1" width="12.0967741935484" style="40" customWidth="1"/>
    <col min="2" max="2" width="71.3387096774194" style="40" customWidth="1"/>
    <col min="3" max="3" width="27.8387096774194" style="40" customWidth="1"/>
    <col min="4" max="4" width="17.6612903225806" style="40" customWidth="1"/>
    <col min="5" max="5" width="32.7741935483871" style="40" customWidth="1"/>
    <col min="6" max="6" width="32.5564516129032" style="40" customWidth="1"/>
    <col min="7" max="7" width="15.2258064516129" style="41" customWidth="1"/>
    <col min="8" max="13" width="9" style="36" hidden="1" customWidth="1"/>
    <col min="14" max="14" width="55.5564516129032" style="41" hidden="1" customWidth="1"/>
    <col min="15" max="15" width="9" style="41" customWidth="1"/>
    <col min="16" max="16" width="59.2258064516129" style="41" customWidth="1"/>
    <col min="17" max="22" width="8.66129032258065" style="41"/>
    <col min="23" max="24" width="9" style="41" customWidth="1"/>
    <col min="25" max="253" width="8.66129032258065" style="41"/>
    <col min="254" max="254" width="11.2258064516129" style="41" customWidth="1"/>
    <col min="255" max="255" width="30.5564516129032" style="41" customWidth="1"/>
    <col min="256" max="256" width="45.4354838709677" style="41" customWidth="1"/>
    <col min="257" max="257" width="10.2258064516129" style="41" customWidth="1"/>
    <col min="258" max="258" width="7.2258064516129" style="41" customWidth="1"/>
    <col min="259" max="259" width="11.2258064516129" style="41" customWidth="1"/>
    <col min="260" max="260" width="13.5564516129032" style="41" customWidth="1"/>
    <col min="261" max="261" width="24.7741935483871" style="41" customWidth="1"/>
    <col min="262" max="262" width="32.5564516129032" style="41" customWidth="1"/>
    <col min="263" max="263" width="15.2258064516129" style="41" customWidth="1"/>
    <col min="264" max="269" width="8.66129032258065" style="41"/>
    <col min="270" max="270" width="55.5564516129032" style="41" customWidth="1"/>
    <col min="271" max="509" width="8.66129032258065" style="41"/>
    <col min="510" max="510" width="11.2258064516129" style="41" customWidth="1"/>
    <col min="511" max="511" width="30.5564516129032" style="41" customWidth="1"/>
    <col min="512" max="512" width="45.4354838709677" style="41" customWidth="1"/>
    <col min="513" max="513" width="10.2258064516129" style="41" customWidth="1"/>
    <col min="514" max="514" width="7.2258064516129" style="41" customWidth="1"/>
    <col min="515" max="515" width="11.2258064516129" style="41" customWidth="1"/>
    <col min="516" max="516" width="13.5564516129032" style="41" customWidth="1"/>
    <col min="517" max="517" width="24.7741935483871" style="41" customWidth="1"/>
    <col min="518" max="518" width="32.5564516129032" style="41" customWidth="1"/>
    <col min="519" max="519" width="15.2258064516129" style="41" customWidth="1"/>
    <col min="520" max="525" width="8.66129032258065" style="41"/>
    <col min="526" max="526" width="55.5564516129032" style="41" customWidth="1"/>
    <col min="527" max="765" width="8.66129032258065" style="41"/>
    <col min="766" max="766" width="11.2258064516129" style="41" customWidth="1"/>
    <col min="767" max="767" width="30.5564516129032" style="41" customWidth="1"/>
    <col min="768" max="768" width="45.4354838709677" style="41" customWidth="1"/>
    <col min="769" max="769" width="10.2258064516129" style="41" customWidth="1"/>
    <col min="770" max="770" width="7.2258064516129" style="41" customWidth="1"/>
    <col min="771" max="771" width="11.2258064516129" style="41" customWidth="1"/>
    <col min="772" max="772" width="13.5564516129032" style="41" customWidth="1"/>
    <col min="773" max="773" width="24.7741935483871" style="41" customWidth="1"/>
    <col min="774" max="774" width="32.5564516129032" style="41" customWidth="1"/>
    <col min="775" max="775" width="15.2258064516129" style="41" customWidth="1"/>
    <col min="776" max="781" width="8.66129032258065" style="41"/>
    <col min="782" max="782" width="55.5564516129032" style="41" customWidth="1"/>
    <col min="783" max="1021" width="8.66129032258065" style="41"/>
    <col min="1022" max="1022" width="11.2258064516129" style="41" customWidth="1"/>
    <col min="1023" max="1023" width="30.5564516129032" style="41" customWidth="1"/>
    <col min="1024" max="1024" width="45.4354838709677" style="41" customWidth="1"/>
    <col min="1025" max="1025" width="10.2258064516129" style="41" customWidth="1"/>
    <col min="1026" max="1026" width="7.2258064516129" style="41" customWidth="1"/>
    <col min="1027" max="1027" width="11.2258064516129" style="41" customWidth="1"/>
    <col min="1028" max="1028" width="13.5564516129032" style="41" customWidth="1"/>
    <col min="1029" max="1029" width="24.7741935483871" style="41" customWidth="1"/>
    <col min="1030" max="1030" width="32.5564516129032" style="41" customWidth="1"/>
    <col min="1031" max="1031" width="15.2258064516129" style="41" customWidth="1"/>
    <col min="1032" max="1037" width="8.66129032258065" style="41"/>
    <col min="1038" max="1038" width="55.5564516129032" style="41" customWidth="1"/>
    <col min="1039" max="1277" width="8.66129032258065" style="41"/>
    <col min="1278" max="1278" width="11.2258064516129" style="41" customWidth="1"/>
    <col min="1279" max="1279" width="30.5564516129032" style="41" customWidth="1"/>
    <col min="1280" max="1280" width="45.4354838709677" style="41" customWidth="1"/>
    <col min="1281" max="1281" width="10.2258064516129" style="41" customWidth="1"/>
    <col min="1282" max="1282" width="7.2258064516129" style="41" customWidth="1"/>
    <col min="1283" max="1283" width="11.2258064516129" style="41" customWidth="1"/>
    <col min="1284" max="1284" width="13.5564516129032" style="41" customWidth="1"/>
    <col min="1285" max="1285" width="24.7741935483871" style="41" customWidth="1"/>
    <col min="1286" max="1286" width="32.5564516129032" style="41" customWidth="1"/>
    <col min="1287" max="1287" width="15.2258064516129" style="41" customWidth="1"/>
    <col min="1288" max="1293" width="8.66129032258065" style="41"/>
    <col min="1294" max="1294" width="55.5564516129032" style="41" customWidth="1"/>
    <col min="1295" max="1533" width="8.66129032258065" style="41"/>
    <col min="1534" max="1534" width="11.2258064516129" style="41" customWidth="1"/>
    <col min="1535" max="1535" width="30.5564516129032" style="41" customWidth="1"/>
    <col min="1536" max="1536" width="45.4354838709677" style="41" customWidth="1"/>
    <col min="1537" max="1537" width="10.2258064516129" style="41" customWidth="1"/>
    <col min="1538" max="1538" width="7.2258064516129" style="41" customWidth="1"/>
    <col min="1539" max="1539" width="11.2258064516129" style="41" customWidth="1"/>
    <col min="1540" max="1540" width="13.5564516129032" style="41" customWidth="1"/>
    <col min="1541" max="1541" width="24.7741935483871" style="41" customWidth="1"/>
    <col min="1542" max="1542" width="32.5564516129032" style="41" customWidth="1"/>
    <col min="1543" max="1543" width="15.2258064516129" style="41" customWidth="1"/>
    <col min="1544" max="1549" width="8.66129032258065" style="41"/>
    <col min="1550" max="1550" width="55.5564516129032" style="41" customWidth="1"/>
    <col min="1551" max="1789" width="8.66129032258065" style="41"/>
    <col min="1790" max="1790" width="11.2258064516129" style="41" customWidth="1"/>
    <col min="1791" max="1791" width="30.5564516129032" style="41" customWidth="1"/>
    <col min="1792" max="1792" width="45.4354838709677" style="41" customWidth="1"/>
    <col min="1793" max="1793" width="10.2258064516129" style="41" customWidth="1"/>
    <col min="1794" max="1794" width="7.2258064516129" style="41" customWidth="1"/>
    <col min="1795" max="1795" width="11.2258064516129" style="41" customWidth="1"/>
    <col min="1796" max="1796" width="13.5564516129032" style="41" customWidth="1"/>
    <col min="1797" max="1797" width="24.7741935483871" style="41" customWidth="1"/>
    <col min="1798" max="1798" width="32.5564516129032" style="41" customWidth="1"/>
    <col min="1799" max="1799" width="15.2258064516129" style="41" customWidth="1"/>
    <col min="1800" max="1805" width="8.66129032258065" style="41"/>
    <col min="1806" max="1806" width="55.5564516129032" style="41" customWidth="1"/>
    <col min="1807" max="2045" width="8.66129032258065" style="41"/>
    <col min="2046" max="2046" width="11.2258064516129" style="41" customWidth="1"/>
    <col min="2047" max="2047" width="30.5564516129032" style="41" customWidth="1"/>
    <col min="2048" max="2048" width="45.4354838709677" style="41" customWidth="1"/>
    <col min="2049" max="2049" width="10.2258064516129" style="41" customWidth="1"/>
    <col min="2050" max="2050" width="7.2258064516129" style="41" customWidth="1"/>
    <col min="2051" max="2051" width="11.2258064516129" style="41" customWidth="1"/>
    <col min="2052" max="2052" width="13.5564516129032" style="41" customWidth="1"/>
    <col min="2053" max="2053" width="24.7741935483871" style="41" customWidth="1"/>
    <col min="2054" max="2054" width="32.5564516129032" style="41" customWidth="1"/>
    <col min="2055" max="2055" width="15.2258064516129" style="41" customWidth="1"/>
    <col min="2056" max="2061" width="8.66129032258065" style="41"/>
    <col min="2062" max="2062" width="55.5564516129032" style="41" customWidth="1"/>
    <col min="2063" max="2301" width="8.66129032258065" style="41"/>
    <col min="2302" max="2302" width="11.2258064516129" style="41" customWidth="1"/>
    <col min="2303" max="2303" width="30.5564516129032" style="41" customWidth="1"/>
    <col min="2304" max="2304" width="45.4354838709677" style="41" customWidth="1"/>
    <col min="2305" max="2305" width="10.2258064516129" style="41" customWidth="1"/>
    <col min="2306" max="2306" width="7.2258064516129" style="41" customWidth="1"/>
    <col min="2307" max="2307" width="11.2258064516129" style="41" customWidth="1"/>
    <col min="2308" max="2308" width="13.5564516129032" style="41" customWidth="1"/>
    <col min="2309" max="2309" width="24.7741935483871" style="41" customWidth="1"/>
    <col min="2310" max="2310" width="32.5564516129032" style="41" customWidth="1"/>
    <col min="2311" max="2311" width="15.2258064516129" style="41" customWidth="1"/>
    <col min="2312" max="2317" width="8.66129032258065" style="41"/>
    <col min="2318" max="2318" width="55.5564516129032" style="41" customWidth="1"/>
    <col min="2319" max="2557" width="8.66129032258065" style="41"/>
    <col min="2558" max="2558" width="11.2258064516129" style="41" customWidth="1"/>
    <col min="2559" max="2559" width="30.5564516129032" style="41" customWidth="1"/>
    <col min="2560" max="2560" width="45.4354838709677" style="41" customWidth="1"/>
    <col min="2561" max="2561" width="10.2258064516129" style="41" customWidth="1"/>
    <col min="2562" max="2562" width="7.2258064516129" style="41" customWidth="1"/>
    <col min="2563" max="2563" width="11.2258064516129" style="41" customWidth="1"/>
    <col min="2564" max="2564" width="13.5564516129032" style="41" customWidth="1"/>
    <col min="2565" max="2565" width="24.7741935483871" style="41" customWidth="1"/>
    <col min="2566" max="2566" width="32.5564516129032" style="41" customWidth="1"/>
    <col min="2567" max="2567" width="15.2258064516129" style="41" customWidth="1"/>
    <col min="2568" max="2573" width="8.66129032258065" style="41"/>
    <col min="2574" max="2574" width="55.5564516129032" style="41" customWidth="1"/>
    <col min="2575" max="2813" width="8.66129032258065" style="41"/>
    <col min="2814" max="2814" width="11.2258064516129" style="41" customWidth="1"/>
    <col min="2815" max="2815" width="30.5564516129032" style="41" customWidth="1"/>
    <col min="2816" max="2816" width="45.4354838709677" style="41" customWidth="1"/>
    <col min="2817" max="2817" width="10.2258064516129" style="41" customWidth="1"/>
    <col min="2818" max="2818" width="7.2258064516129" style="41" customWidth="1"/>
    <col min="2819" max="2819" width="11.2258064516129" style="41" customWidth="1"/>
    <col min="2820" max="2820" width="13.5564516129032" style="41" customWidth="1"/>
    <col min="2821" max="2821" width="24.7741935483871" style="41" customWidth="1"/>
    <col min="2822" max="2822" width="32.5564516129032" style="41" customWidth="1"/>
    <col min="2823" max="2823" width="15.2258064516129" style="41" customWidth="1"/>
    <col min="2824" max="2829" width="8.66129032258065" style="41"/>
    <col min="2830" max="2830" width="55.5564516129032" style="41" customWidth="1"/>
    <col min="2831" max="3069" width="8.66129032258065" style="41"/>
    <col min="3070" max="3070" width="11.2258064516129" style="41" customWidth="1"/>
    <col min="3071" max="3071" width="30.5564516129032" style="41" customWidth="1"/>
    <col min="3072" max="3072" width="45.4354838709677" style="41" customWidth="1"/>
    <col min="3073" max="3073" width="10.2258064516129" style="41" customWidth="1"/>
    <col min="3074" max="3074" width="7.2258064516129" style="41" customWidth="1"/>
    <col min="3075" max="3075" width="11.2258064516129" style="41" customWidth="1"/>
    <col min="3076" max="3076" width="13.5564516129032" style="41" customWidth="1"/>
    <col min="3077" max="3077" width="24.7741935483871" style="41" customWidth="1"/>
    <col min="3078" max="3078" width="32.5564516129032" style="41" customWidth="1"/>
    <col min="3079" max="3079" width="15.2258064516129" style="41" customWidth="1"/>
    <col min="3080" max="3085" width="8.66129032258065" style="41"/>
    <col min="3086" max="3086" width="55.5564516129032" style="41" customWidth="1"/>
    <col min="3087" max="3325" width="8.66129032258065" style="41"/>
    <col min="3326" max="3326" width="11.2258064516129" style="41" customWidth="1"/>
    <col min="3327" max="3327" width="30.5564516129032" style="41" customWidth="1"/>
    <col min="3328" max="3328" width="45.4354838709677" style="41" customWidth="1"/>
    <col min="3329" max="3329" width="10.2258064516129" style="41" customWidth="1"/>
    <col min="3330" max="3330" width="7.2258064516129" style="41" customWidth="1"/>
    <col min="3331" max="3331" width="11.2258064516129" style="41" customWidth="1"/>
    <col min="3332" max="3332" width="13.5564516129032" style="41" customWidth="1"/>
    <col min="3333" max="3333" width="24.7741935483871" style="41" customWidth="1"/>
    <col min="3334" max="3334" width="32.5564516129032" style="41" customWidth="1"/>
    <col min="3335" max="3335" width="15.2258064516129" style="41" customWidth="1"/>
    <col min="3336" max="3341" width="8.66129032258065" style="41"/>
    <col min="3342" max="3342" width="55.5564516129032" style="41" customWidth="1"/>
    <col min="3343" max="3581" width="8.66129032258065" style="41"/>
    <col min="3582" max="3582" width="11.2258064516129" style="41" customWidth="1"/>
    <col min="3583" max="3583" width="30.5564516129032" style="41" customWidth="1"/>
    <col min="3584" max="3584" width="45.4354838709677" style="41" customWidth="1"/>
    <col min="3585" max="3585" width="10.2258064516129" style="41" customWidth="1"/>
    <col min="3586" max="3586" width="7.2258064516129" style="41" customWidth="1"/>
    <col min="3587" max="3587" width="11.2258064516129" style="41" customWidth="1"/>
    <col min="3588" max="3588" width="13.5564516129032" style="41" customWidth="1"/>
    <col min="3589" max="3589" width="24.7741935483871" style="41" customWidth="1"/>
    <col min="3590" max="3590" width="32.5564516129032" style="41" customWidth="1"/>
    <col min="3591" max="3591" width="15.2258064516129" style="41" customWidth="1"/>
    <col min="3592" max="3597" width="8.66129032258065" style="41"/>
    <col min="3598" max="3598" width="55.5564516129032" style="41" customWidth="1"/>
    <col min="3599" max="3837" width="8.66129032258065" style="41"/>
    <col min="3838" max="3838" width="11.2258064516129" style="41" customWidth="1"/>
    <col min="3839" max="3839" width="30.5564516129032" style="41" customWidth="1"/>
    <col min="3840" max="3840" width="45.4354838709677" style="41" customWidth="1"/>
    <col min="3841" max="3841" width="10.2258064516129" style="41" customWidth="1"/>
    <col min="3842" max="3842" width="7.2258064516129" style="41" customWidth="1"/>
    <col min="3843" max="3843" width="11.2258064516129" style="41" customWidth="1"/>
    <col min="3844" max="3844" width="13.5564516129032" style="41" customWidth="1"/>
    <col min="3845" max="3845" width="24.7741935483871" style="41" customWidth="1"/>
    <col min="3846" max="3846" width="32.5564516129032" style="41" customWidth="1"/>
    <col min="3847" max="3847" width="15.2258064516129" style="41" customWidth="1"/>
    <col min="3848" max="3853" width="8.66129032258065" style="41"/>
    <col min="3854" max="3854" width="55.5564516129032" style="41" customWidth="1"/>
    <col min="3855" max="4093" width="8.66129032258065" style="41"/>
    <col min="4094" max="4094" width="11.2258064516129" style="41" customWidth="1"/>
    <col min="4095" max="4095" width="30.5564516129032" style="41" customWidth="1"/>
    <col min="4096" max="4096" width="45.4354838709677" style="41" customWidth="1"/>
    <col min="4097" max="4097" width="10.2258064516129" style="41" customWidth="1"/>
    <col min="4098" max="4098" width="7.2258064516129" style="41" customWidth="1"/>
    <col min="4099" max="4099" width="11.2258064516129" style="41" customWidth="1"/>
    <col min="4100" max="4100" width="13.5564516129032" style="41" customWidth="1"/>
    <col min="4101" max="4101" width="24.7741935483871" style="41" customWidth="1"/>
    <col min="4102" max="4102" width="32.5564516129032" style="41" customWidth="1"/>
    <col min="4103" max="4103" width="15.2258064516129" style="41" customWidth="1"/>
    <col min="4104" max="4109" width="8.66129032258065" style="41"/>
    <col min="4110" max="4110" width="55.5564516129032" style="41" customWidth="1"/>
    <col min="4111" max="4349" width="8.66129032258065" style="41"/>
    <col min="4350" max="4350" width="11.2258064516129" style="41" customWidth="1"/>
    <col min="4351" max="4351" width="30.5564516129032" style="41" customWidth="1"/>
    <col min="4352" max="4352" width="45.4354838709677" style="41" customWidth="1"/>
    <col min="4353" max="4353" width="10.2258064516129" style="41" customWidth="1"/>
    <col min="4354" max="4354" width="7.2258064516129" style="41" customWidth="1"/>
    <col min="4355" max="4355" width="11.2258064516129" style="41" customWidth="1"/>
    <col min="4356" max="4356" width="13.5564516129032" style="41" customWidth="1"/>
    <col min="4357" max="4357" width="24.7741935483871" style="41" customWidth="1"/>
    <col min="4358" max="4358" width="32.5564516129032" style="41" customWidth="1"/>
    <col min="4359" max="4359" width="15.2258064516129" style="41" customWidth="1"/>
    <col min="4360" max="4365" width="8.66129032258065" style="41"/>
    <col min="4366" max="4366" width="55.5564516129032" style="41" customWidth="1"/>
    <col min="4367" max="4605" width="8.66129032258065" style="41"/>
    <col min="4606" max="4606" width="11.2258064516129" style="41" customWidth="1"/>
    <col min="4607" max="4607" width="30.5564516129032" style="41" customWidth="1"/>
    <col min="4608" max="4608" width="45.4354838709677" style="41" customWidth="1"/>
    <col min="4609" max="4609" width="10.2258064516129" style="41" customWidth="1"/>
    <col min="4610" max="4610" width="7.2258064516129" style="41" customWidth="1"/>
    <col min="4611" max="4611" width="11.2258064516129" style="41" customWidth="1"/>
    <col min="4612" max="4612" width="13.5564516129032" style="41" customWidth="1"/>
    <col min="4613" max="4613" width="24.7741935483871" style="41" customWidth="1"/>
    <col min="4614" max="4614" width="32.5564516129032" style="41" customWidth="1"/>
    <col min="4615" max="4615" width="15.2258064516129" style="41" customWidth="1"/>
    <col min="4616" max="4621" width="8.66129032258065" style="41"/>
    <col min="4622" max="4622" width="55.5564516129032" style="41" customWidth="1"/>
    <col min="4623" max="4861" width="8.66129032258065" style="41"/>
    <col min="4862" max="4862" width="11.2258064516129" style="41" customWidth="1"/>
    <col min="4863" max="4863" width="30.5564516129032" style="41" customWidth="1"/>
    <col min="4864" max="4864" width="45.4354838709677" style="41" customWidth="1"/>
    <col min="4865" max="4865" width="10.2258064516129" style="41" customWidth="1"/>
    <col min="4866" max="4866" width="7.2258064516129" style="41" customWidth="1"/>
    <col min="4867" max="4867" width="11.2258064516129" style="41" customWidth="1"/>
    <col min="4868" max="4868" width="13.5564516129032" style="41" customWidth="1"/>
    <col min="4869" max="4869" width="24.7741935483871" style="41" customWidth="1"/>
    <col min="4870" max="4870" width="32.5564516129032" style="41" customWidth="1"/>
    <col min="4871" max="4871" width="15.2258064516129" style="41" customWidth="1"/>
    <col min="4872" max="4877" width="8.66129032258065" style="41"/>
    <col min="4878" max="4878" width="55.5564516129032" style="41" customWidth="1"/>
    <col min="4879" max="5117" width="8.66129032258065" style="41"/>
    <col min="5118" max="5118" width="11.2258064516129" style="41" customWidth="1"/>
    <col min="5119" max="5119" width="30.5564516129032" style="41" customWidth="1"/>
    <col min="5120" max="5120" width="45.4354838709677" style="41" customWidth="1"/>
    <col min="5121" max="5121" width="10.2258064516129" style="41" customWidth="1"/>
    <col min="5122" max="5122" width="7.2258064516129" style="41" customWidth="1"/>
    <col min="5123" max="5123" width="11.2258064516129" style="41" customWidth="1"/>
    <col min="5124" max="5124" width="13.5564516129032" style="41" customWidth="1"/>
    <col min="5125" max="5125" width="24.7741935483871" style="41" customWidth="1"/>
    <col min="5126" max="5126" width="32.5564516129032" style="41" customWidth="1"/>
    <col min="5127" max="5127" width="15.2258064516129" style="41" customWidth="1"/>
    <col min="5128" max="5133" width="8.66129032258065" style="41"/>
    <col min="5134" max="5134" width="55.5564516129032" style="41" customWidth="1"/>
    <col min="5135" max="5373" width="8.66129032258065" style="41"/>
    <col min="5374" max="5374" width="11.2258064516129" style="41" customWidth="1"/>
    <col min="5375" max="5375" width="30.5564516129032" style="41" customWidth="1"/>
    <col min="5376" max="5376" width="45.4354838709677" style="41" customWidth="1"/>
    <col min="5377" max="5377" width="10.2258064516129" style="41" customWidth="1"/>
    <col min="5378" max="5378" width="7.2258064516129" style="41" customWidth="1"/>
    <col min="5379" max="5379" width="11.2258064516129" style="41" customWidth="1"/>
    <col min="5380" max="5380" width="13.5564516129032" style="41" customWidth="1"/>
    <col min="5381" max="5381" width="24.7741935483871" style="41" customWidth="1"/>
    <col min="5382" max="5382" width="32.5564516129032" style="41" customWidth="1"/>
    <col min="5383" max="5383" width="15.2258064516129" style="41" customWidth="1"/>
    <col min="5384" max="5389" width="8.66129032258065" style="41"/>
    <col min="5390" max="5390" width="55.5564516129032" style="41" customWidth="1"/>
    <col min="5391" max="5629" width="8.66129032258065" style="41"/>
    <col min="5630" max="5630" width="11.2258064516129" style="41" customWidth="1"/>
    <col min="5631" max="5631" width="30.5564516129032" style="41" customWidth="1"/>
    <col min="5632" max="5632" width="45.4354838709677" style="41" customWidth="1"/>
    <col min="5633" max="5633" width="10.2258064516129" style="41" customWidth="1"/>
    <col min="5634" max="5634" width="7.2258064516129" style="41" customWidth="1"/>
    <col min="5635" max="5635" width="11.2258064516129" style="41" customWidth="1"/>
    <col min="5636" max="5636" width="13.5564516129032" style="41" customWidth="1"/>
    <col min="5637" max="5637" width="24.7741935483871" style="41" customWidth="1"/>
    <col min="5638" max="5638" width="32.5564516129032" style="41" customWidth="1"/>
    <col min="5639" max="5639" width="15.2258064516129" style="41" customWidth="1"/>
    <col min="5640" max="5645" width="8.66129032258065" style="41"/>
    <col min="5646" max="5646" width="55.5564516129032" style="41" customWidth="1"/>
    <col min="5647" max="5885" width="8.66129032258065" style="41"/>
    <col min="5886" max="5886" width="11.2258064516129" style="41" customWidth="1"/>
    <col min="5887" max="5887" width="30.5564516129032" style="41" customWidth="1"/>
    <col min="5888" max="5888" width="45.4354838709677" style="41" customWidth="1"/>
    <col min="5889" max="5889" width="10.2258064516129" style="41" customWidth="1"/>
    <col min="5890" max="5890" width="7.2258064516129" style="41" customWidth="1"/>
    <col min="5891" max="5891" width="11.2258064516129" style="41" customWidth="1"/>
    <col min="5892" max="5892" width="13.5564516129032" style="41" customWidth="1"/>
    <col min="5893" max="5893" width="24.7741935483871" style="41" customWidth="1"/>
    <col min="5894" max="5894" width="32.5564516129032" style="41" customWidth="1"/>
    <col min="5895" max="5895" width="15.2258064516129" style="41" customWidth="1"/>
    <col min="5896" max="5901" width="8.66129032258065" style="41"/>
    <col min="5902" max="5902" width="55.5564516129032" style="41" customWidth="1"/>
    <col min="5903" max="6141" width="8.66129032258065" style="41"/>
    <col min="6142" max="6142" width="11.2258064516129" style="41" customWidth="1"/>
    <col min="6143" max="6143" width="30.5564516129032" style="41" customWidth="1"/>
    <col min="6144" max="6144" width="45.4354838709677" style="41" customWidth="1"/>
    <col min="6145" max="6145" width="10.2258064516129" style="41" customWidth="1"/>
    <col min="6146" max="6146" width="7.2258064516129" style="41" customWidth="1"/>
    <col min="6147" max="6147" width="11.2258064516129" style="41" customWidth="1"/>
    <col min="6148" max="6148" width="13.5564516129032" style="41" customWidth="1"/>
    <col min="6149" max="6149" width="24.7741935483871" style="41" customWidth="1"/>
    <col min="6150" max="6150" width="32.5564516129032" style="41" customWidth="1"/>
    <col min="6151" max="6151" width="15.2258064516129" style="41" customWidth="1"/>
    <col min="6152" max="6157" width="8.66129032258065" style="41"/>
    <col min="6158" max="6158" width="55.5564516129032" style="41" customWidth="1"/>
    <col min="6159" max="6397" width="8.66129032258065" style="41"/>
    <col min="6398" max="6398" width="11.2258064516129" style="41" customWidth="1"/>
    <col min="6399" max="6399" width="30.5564516129032" style="41" customWidth="1"/>
    <col min="6400" max="6400" width="45.4354838709677" style="41" customWidth="1"/>
    <col min="6401" max="6401" width="10.2258064516129" style="41" customWidth="1"/>
    <col min="6402" max="6402" width="7.2258064516129" style="41" customWidth="1"/>
    <col min="6403" max="6403" width="11.2258064516129" style="41" customWidth="1"/>
    <col min="6404" max="6404" width="13.5564516129032" style="41" customWidth="1"/>
    <col min="6405" max="6405" width="24.7741935483871" style="41" customWidth="1"/>
    <col min="6406" max="6406" width="32.5564516129032" style="41" customWidth="1"/>
    <col min="6407" max="6407" width="15.2258064516129" style="41" customWidth="1"/>
    <col min="6408" max="6413" width="8.66129032258065" style="41"/>
    <col min="6414" max="6414" width="55.5564516129032" style="41" customWidth="1"/>
    <col min="6415" max="6653" width="8.66129032258065" style="41"/>
    <col min="6654" max="6654" width="11.2258064516129" style="41" customWidth="1"/>
    <col min="6655" max="6655" width="30.5564516129032" style="41" customWidth="1"/>
    <col min="6656" max="6656" width="45.4354838709677" style="41" customWidth="1"/>
    <col min="6657" max="6657" width="10.2258064516129" style="41" customWidth="1"/>
    <col min="6658" max="6658" width="7.2258064516129" style="41" customWidth="1"/>
    <col min="6659" max="6659" width="11.2258064516129" style="41" customWidth="1"/>
    <col min="6660" max="6660" width="13.5564516129032" style="41" customWidth="1"/>
    <col min="6661" max="6661" width="24.7741935483871" style="41" customWidth="1"/>
    <col min="6662" max="6662" width="32.5564516129032" style="41" customWidth="1"/>
    <col min="6663" max="6663" width="15.2258064516129" style="41" customWidth="1"/>
    <col min="6664" max="6669" width="8.66129032258065" style="41"/>
    <col min="6670" max="6670" width="55.5564516129032" style="41" customWidth="1"/>
    <col min="6671" max="6909" width="8.66129032258065" style="41"/>
    <col min="6910" max="6910" width="11.2258064516129" style="41" customWidth="1"/>
    <col min="6911" max="6911" width="30.5564516129032" style="41" customWidth="1"/>
    <col min="6912" max="6912" width="45.4354838709677" style="41" customWidth="1"/>
    <col min="6913" max="6913" width="10.2258064516129" style="41" customWidth="1"/>
    <col min="6914" max="6914" width="7.2258064516129" style="41" customWidth="1"/>
    <col min="6915" max="6915" width="11.2258064516129" style="41" customWidth="1"/>
    <col min="6916" max="6916" width="13.5564516129032" style="41" customWidth="1"/>
    <col min="6917" max="6917" width="24.7741935483871" style="41" customWidth="1"/>
    <col min="6918" max="6918" width="32.5564516129032" style="41" customWidth="1"/>
    <col min="6919" max="6919" width="15.2258064516129" style="41" customWidth="1"/>
    <col min="6920" max="6925" width="8.66129032258065" style="41"/>
    <col min="6926" max="6926" width="55.5564516129032" style="41" customWidth="1"/>
    <col min="6927" max="7165" width="8.66129032258065" style="41"/>
    <col min="7166" max="7166" width="11.2258064516129" style="41" customWidth="1"/>
    <col min="7167" max="7167" width="30.5564516129032" style="41" customWidth="1"/>
    <col min="7168" max="7168" width="45.4354838709677" style="41" customWidth="1"/>
    <col min="7169" max="7169" width="10.2258064516129" style="41" customWidth="1"/>
    <col min="7170" max="7170" width="7.2258064516129" style="41" customWidth="1"/>
    <col min="7171" max="7171" width="11.2258064516129" style="41" customWidth="1"/>
    <col min="7172" max="7172" width="13.5564516129032" style="41" customWidth="1"/>
    <col min="7173" max="7173" width="24.7741935483871" style="41" customWidth="1"/>
    <col min="7174" max="7174" width="32.5564516129032" style="41" customWidth="1"/>
    <col min="7175" max="7175" width="15.2258064516129" style="41" customWidth="1"/>
    <col min="7176" max="7181" width="8.66129032258065" style="41"/>
    <col min="7182" max="7182" width="55.5564516129032" style="41" customWidth="1"/>
    <col min="7183" max="7421" width="8.66129032258065" style="41"/>
    <col min="7422" max="7422" width="11.2258064516129" style="41" customWidth="1"/>
    <col min="7423" max="7423" width="30.5564516129032" style="41" customWidth="1"/>
    <col min="7424" max="7424" width="45.4354838709677" style="41" customWidth="1"/>
    <col min="7425" max="7425" width="10.2258064516129" style="41" customWidth="1"/>
    <col min="7426" max="7426" width="7.2258064516129" style="41" customWidth="1"/>
    <col min="7427" max="7427" width="11.2258064516129" style="41" customWidth="1"/>
    <col min="7428" max="7428" width="13.5564516129032" style="41" customWidth="1"/>
    <col min="7429" max="7429" width="24.7741935483871" style="41" customWidth="1"/>
    <col min="7430" max="7430" width="32.5564516129032" style="41" customWidth="1"/>
    <col min="7431" max="7431" width="15.2258064516129" style="41" customWidth="1"/>
    <col min="7432" max="7437" width="8.66129032258065" style="41"/>
    <col min="7438" max="7438" width="55.5564516129032" style="41" customWidth="1"/>
    <col min="7439" max="7677" width="8.66129032258065" style="41"/>
    <col min="7678" max="7678" width="11.2258064516129" style="41" customWidth="1"/>
    <col min="7679" max="7679" width="30.5564516129032" style="41" customWidth="1"/>
    <col min="7680" max="7680" width="45.4354838709677" style="41" customWidth="1"/>
    <col min="7681" max="7681" width="10.2258064516129" style="41" customWidth="1"/>
    <col min="7682" max="7682" width="7.2258064516129" style="41" customWidth="1"/>
    <col min="7683" max="7683" width="11.2258064516129" style="41" customWidth="1"/>
    <col min="7684" max="7684" width="13.5564516129032" style="41" customWidth="1"/>
    <col min="7685" max="7685" width="24.7741935483871" style="41" customWidth="1"/>
    <col min="7686" max="7686" width="32.5564516129032" style="41" customWidth="1"/>
    <col min="7687" max="7687" width="15.2258064516129" style="41" customWidth="1"/>
    <col min="7688" max="7693" width="8.66129032258065" style="41"/>
    <col min="7694" max="7694" width="55.5564516129032" style="41" customWidth="1"/>
    <col min="7695" max="7933" width="8.66129032258065" style="41"/>
    <col min="7934" max="7934" width="11.2258064516129" style="41" customWidth="1"/>
    <col min="7935" max="7935" width="30.5564516129032" style="41" customWidth="1"/>
    <col min="7936" max="7936" width="45.4354838709677" style="41" customWidth="1"/>
    <col min="7937" max="7937" width="10.2258064516129" style="41" customWidth="1"/>
    <col min="7938" max="7938" width="7.2258064516129" style="41" customWidth="1"/>
    <col min="7939" max="7939" width="11.2258064516129" style="41" customWidth="1"/>
    <col min="7940" max="7940" width="13.5564516129032" style="41" customWidth="1"/>
    <col min="7941" max="7941" width="24.7741935483871" style="41" customWidth="1"/>
    <col min="7942" max="7942" width="32.5564516129032" style="41" customWidth="1"/>
    <col min="7943" max="7943" width="15.2258064516129" style="41" customWidth="1"/>
    <col min="7944" max="7949" width="8.66129032258065" style="41"/>
    <col min="7950" max="7950" width="55.5564516129032" style="41" customWidth="1"/>
    <col min="7951" max="8189" width="8.66129032258065" style="41"/>
    <col min="8190" max="8190" width="11.2258064516129" style="41" customWidth="1"/>
    <col min="8191" max="8191" width="30.5564516129032" style="41" customWidth="1"/>
    <col min="8192" max="8192" width="45.4354838709677" style="41" customWidth="1"/>
    <col min="8193" max="8193" width="10.2258064516129" style="41" customWidth="1"/>
    <col min="8194" max="8194" width="7.2258064516129" style="41" customWidth="1"/>
    <col min="8195" max="8195" width="11.2258064516129" style="41" customWidth="1"/>
    <col min="8196" max="8196" width="13.5564516129032" style="41" customWidth="1"/>
    <col min="8197" max="8197" width="24.7741935483871" style="41" customWidth="1"/>
    <col min="8198" max="8198" width="32.5564516129032" style="41" customWidth="1"/>
    <col min="8199" max="8199" width="15.2258064516129" style="41" customWidth="1"/>
    <col min="8200" max="8205" width="8.66129032258065" style="41"/>
    <col min="8206" max="8206" width="55.5564516129032" style="41" customWidth="1"/>
    <col min="8207" max="8445" width="8.66129032258065" style="41"/>
    <col min="8446" max="8446" width="11.2258064516129" style="41" customWidth="1"/>
    <col min="8447" max="8447" width="30.5564516129032" style="41" customWidth="1"/>
    <col min="8448" max="8448" width="45.4354838709677" style="41" customWidth="1"/>
    <col min="8449" max="8449" width="10.2258064516129" style="41" customWidth="1"/>
    <col min="8450" max="8450" width="7.2258064516129" style="41" customWidth="1"/>
    <col min="8451" max="8451" width="11.2258064516129" style="41" customWidth="1"/>
    <col min="8452" max="8452" width="13.5564516129032" style="41" customWidth="1"/>
    <col min="8453" max="8453" width="24.7741935483871" style="41" customWidth="1"/>
    <col min="8454" max="8454" width="32.5564516129032" style="41" customWidth="1"/>
    <col min="8455" max="8455" width="15.2258064516129" style="41" customWidth="1"/>
    <col min="8456" max="8461" width="8.66129032258065" style="41"/>
    <col min="8462" max="8462" width="55.5564516129032" style="41" customWidth="1"/>
    <col min="8463" max="8701" width="8.66129032258065" style="41"/>
    <col min="8702" max="8702" width="11.2258064516129" style="41" customWidth="1"/>
    <col min="8703" max="8703" width="30.5564516129032" style="41" customWidth="1"/>
    <col min="8704" max="8704" width="45.4354838709677" style="41" customWidth="1"/>
    <col min="8705" max="8705" width="10.2258064516129" style="41" customWidth="1"/>
    <col min="8706" max="8706" width="7.2258064516129" style="41" customWidth="1"/>
    <col min="8707" max="8707" width="11.2258064516129" style="41" customWidth="1"/>
    <col min="8708" max="8708" width="13.5564516129032" style="41" customWidth="1"/>
    <col min="8709" max="8709" width="24.7741935483871" style="41" customWidth="1"/>
    <col min="8710" max="8710" width="32.5564516129032" style="41" customWidth="1"/>
    <col min="8711" max="8711" width="15.2258064516129" style="41" customWidth="1"/>
    <col min="8712" max="8717" width="8.66129032258065" style="41"/>
    <col min="8718" max="8718" width="55.5564516129032" style="41" customWidth="1"/>
    <col min="8719" max="8957" width="8.66129032258065" style="41"/>
    <col min="8958" max="8958" width="11.2258064516129" style="41" customWidth="1"/>
    <col min="8959" max="8959" width="30.5564516129032" style="41" customWidth="1"/>
    <col min="8960" max="8960" width="45.4354838709677" style="41" customWidth="1"/>
    <col min="8961" max="8961" width="10.2258064516129" style="41" customWidth="1"/>
    <col min="8962" max="8962" width="7.2258064516129" style="41" customWidth="1"/>
    <col min="8963" max="8963" width="11.2258064516129" style="41" customWidth="1"/>
    <col min="8964" max="8964" width="13.5564516129032" style="41" customWidth="1"/>
    <col min="8965" max="8965" width="24.7741935483871" style="41" customWidth="1"/>
    <col min="8966" max="8966" width="32.5564516129032" style="41" customWidth="1"/>
    <col min="8967" max="8967" width="15.2258064516129" style="41" customWidth="1"/>
    <col min="8968" max="8973" width="8.66129032258065" style="41"/>
    <col min="8974" max="8974" width="55.5564516129032" style="41" customWidth="1"/>
    <col min="8975" max="9213" width="8.66129032258065" style="41"/>
    <col min="9214" max="9214" width="11.2258064516129" style="41" customWidth="1"/>
    <col min="9215" max="9215" width="30.5564516129032" style="41" customWidth="1"/>
    <col min="9216" max="9216" width="45.4354838709677" style="41" customWidth="1"/>
    <col min="9217" max="9217" width="10.2258064516129" style="41" customWidth="1"/>
    <col min="9218" max="9218" width="7.2258064516129" style="41" customWidth="1"/>
    <col min="9219" max="9219" width="11.2258064516129" style="41" customWidth="1"/>
    <col min="9220" max="9220" width="13.5564516129032" style="41" customWidth="1"/>
    <col min="9221" max="9221" width="24.7741935483871" style="41" customWidth="1"/>
    <col min="9222" max="9222" width="32.5564516129032" style="41" customWidth="1"/>
    <col min="9223" max="9223" width="15.2258064516129" style="41" customWidth="1"/>
    <col min="9224" max="9229" width="8.66129032258065" style="41"/>
    <col min="9230" max="9230" width="55.5564516129032" style="41" customWidth="1"/>
    <col min="9231" max="9469" width="8.66129032258065" style="41"/>
    <col min="9470" max="9470" width="11.2258064516129" style="41" customWidth="1"/>
    <col min="9471" max="9471" width="30.5564516129032" style="41" customWidth="1"/>
    <col min="9472" max="9472" width="45.4354838709677" style="41" customWidth="1"/>
    <col min="9473" max="9473" width="10.2258064516129" style="41" customWidth="1"/>
    <col min="9474" max="9474" width="7.2258064516129" style="41" customWidth="1"/>
    <col min="9475" max="9475" width="11.2258064516129" style="41" customWidth="1"/>
    <col min="9476" max="9476" width="13.5564516129032" style="41" customWidth="1"/>
    <col min="9477" max="9477" width="24.7741935483871" style="41" customWidth="1"/>
    <col min="9478" max="9478" width="32.5564516129032" style="41" customWidth="1"/>
    <col min="9479" max="9479" width="15.2258064516129" style="41" customWidth="1"/>
    <col min="9480" max="9485" width="8.66129032258065" style="41"/>
    <col min="9486" max="9486" width="55.5564516129032" style="41" customWidth="1"/>
    <col min="9487" max="9725" width="8.66129032258065" style="41"/>
    <col min="9726" max="9726" width="11.2258064516129" style="41" customWidth="1"/>
    <col min="9727" max="9727" width="30.5564516129032" style="41" customWidth="1"/>
    <col min="9728" max="9728" width="45.4354838709677" style="41" customWidth="1"/>
    <col min="9729" max="9729" width="10.2258064516129" style="41" customWidth="1"/>
    <col min="9730" max="9730" width="7.2258064516129" style="41" customWidth="1"/>
    <col min="9731" max="9731" width="11.2258064516129" style="41" customWidth="1"/>
    <col min="9732" max="9732" width="13.5564516129032" style="41" customWidth="1"/>
    <col min="9733" max="9733" width="24.7741935483871" style="41" customWidth="1"/>
    <col min="9734" max="9734" width="32.5564516129032" style="41" customWidth="1"/>
    <col min="9735" max="9735" width="15.2258064516129" style="41" customWidth="1"/>
    <col min="9736" max="9741" width="8.66129032258065" style="41"/>
    <col min="9742" max="9742" width="55.5564516129032" style="41" customWidth="1"/>
    <col min="9743" max="9981" width="8.66129032258065" style="41"/>
    <col min="9982" max="9982" width="11.2258064516129" style="41" customWidth="1"/>
    <col min="9983" max="9983" width="30.5564516129032" style="41" customWidth="1"/>
    <col min="9984" max="9984" width="45.4354838709677" style="41" customWidth="1"/>
    <col min="9985" max="9985" width="10.2258064516129" style="41" customWidth="1"/>
    <col min="9986" max="9986" width="7.2258064516129" style="41" customWidth="1"/>
    <col min="9987" max="9987" width="11.2258064516129" style="41" customWidth="1"/>
    <col min="9988" max="9988" width="13.5564516129032" style="41" customWidth="1"/>
    <col min="9989" max="9989" width="24.7741935483871" style="41" customWidth="1"/>
    <col min="9990" max="9990" width="32.5564516129032" style="41" customWidth="1"/>
    <col min="9991" max="9991" width="15.2258064516129" style="41" customWidth="1"/>
    <col min="9992" max="9997" width="8.66129032258065" style="41"/>
    <col min="9998" max="9998" width="55.5564516129032" style="41" customWidth="1"/>
    <col min="9999" max="10237" width="8.66129032258065" style="41"/>
    <col min="10238" max="10238" width="11.2258064516129" style="41" customWidth="1"/>
    <col min="10239" max="10239" width="30.5564516129032" style="41" customWidth="1"/>
    <col min="10240" max="10240" width="45.4354838709677" style="41" customWidth="1"/>
    <col min="10241" max="10241" width="10.2258064516129" style="41" customWidth="1"/>
    <col min="10242" max="10242" width="7.2258064516129" style="41" customWidth="1"/>
    <col min="10243" max="10243" width="11.2258064516129" style="41" customWidth="1"/>
    <col min="10244" max="10244" width="13.5564516129032" style="41" customWidth="1"/>
    <col min="10245" max="10245" width="24.7741935483871" style="41" customWidth="1"/>
    <col min="10246" max="10246" width="32.5564516129032" style="41" customWidth="1"/>
    <col min="10247" max="10247" width="15.2258064516129" style="41" customWidth="1"/>
    <col min="10248" max="10253" width="8.66129032258065" style="41"/>
    <col min="10254" max="10254" width="55.5564516129032" style="41" customWidth="1"/>
    <col min="10255" max="10493" width="8.66129032258065" style="41"/>
    <col min="10494" max="10494" width="11.2258064516129" style="41" customWidth="1"/>
    <col min="10495" max="10495" width="30.5564516129032" style="41" customWidth="1"/>
    <col min="10496" max="10496" width="45.4354838709677" style="41" customWidth="1"/>
    <col min="10497" max="10497" width="10.2258064516129" style="41" customWidth="1"/>
    <col min="10498" max="10498" width="7.2258064516129" style="41" customWidth="1"/>
    <col min="10499" max="10499" width="11.2258064516129" style="41" customWidth="1"/>
    <col min="10500" max="10500" width="13.5564516129032" style="41" customWidth="1"/>
    <col min="10501" max="10501" width="24.7741935483871" style="41" customWidth="1"/>
    <col min="10502" max="10502" width="32.5564516129032" style="41" customWidth="1"/>
    <col min="10503" max="10503" width="15.2258064516129" style="41" customWidth="1"/>
    <col min="10504" max="10509" width="8.66129032258065" style="41"/>
    <col min="10510" max="10510" width="55.5564516129032" style="41" customWidth="1"/>
    <col min="10511" max="10749" width="8.66129032258065" style="41"/>
    <col min="10750" max="10750" width="11.2258064516129" style="41" customWidth="1"/>
    <col min="10751" max="10751" width="30.5564516129032" style="41" customWidth="1"/>
    <col min="10752" max="10752" width="45.4354838709677" style="41" customWidth="1"/>
    <col min="10753" max="10753" width="10.2258064516129" style="41" customWidth="1"/>
    <col min="10754" max="10754" width="7.2258064516129" style="41" customWidth="1"/>
    <col min="10755" max="10755" width="11.2258064516129" style="41" customWidth="1"/>
    <col min="10756" max="10756" width="13.5564516129032" style="41" customWidth="1"/>
    <col min="10757" max="10757" width="24.7741935483871" style="41" customWidth="1"/>
    <col min="10758" max="10758" width="32.5564516129032" style="41" customWidth="1"/>
    <col min="10759" max="10759" width="15.2258064516129" style="41" customWidth="1"/>
    <col min="10760" max="10765" width="8.66129032258065" style="41"/>
    <col min="10766" max="10766" width="55.5564516129032" style="41" customWidth="1"/>
    <col min="10767" max="11005" width="8.66129032258065" style="41"/>
    <col min="11006" max="11006" width="11.2258064516129" style="41" customWidth="1"/>
    <col min="11007" max="11007" width="30.5564516129032" style="41" customWidth="1"/>
    <col min="11008" max="11008" width="45.4354838709677" style="41" customWidth="1"/>
    <col min="11009" max="11009" width="10.2258064516129" style="41" customWidth="1"/>
    <col min="11010" max="11010" width="7.2258064516129" style="41" customWidth="1"/>
    <col min="11011" max="11011" width="11.2258064516129" style="41" customWidth="1"/>
    <col min="11012" max="11012" width="13.5564516129032" style="41" customWidth="1"/>
    <col min="11013" max="11013" width="24.7741935483871" style="41" customWidth="1"/>
    <col min="11014" max="11014" width="32.5564516129032" style="41" customWidth="1"/>
    <col min="11015" max="11015" width="15.2258064516129" style="41" customWidth="1"/>
    <col min="11016" max="11021" width="8.66129032258065" style="41"/>
    <col min="11022" max="11022" width="55.5564516129032" style="41" customWidth="1"/>
    <col min="11023" max="11261" width="8.66129032258065" style="41"/>
    <col min="11262" max="11262" width="11.2258064516129" style="41" customWidth="1"/>
    <col min="11263" max="11263" width="30.5564516129032" style="41" customWidth="1"/>
    <col min="11264" max="11264" width="45.4354838709677" style="41" customWidth="1"/>
    <col min="11265" max="11265" width="10.2258064516129" style="41" customWidth="1"/>
    <col min="11266" max="11266" width="7.2258064516129" style="41" customWidth="1"/>
    <col min="11267" max="11267" width="11.2258064516129" style="41" customWidth="1"/>
    <col min="11268" max="11268" width="13.5564516129032" style="41" customWidth="1"/>
    <col min="11269" max="11269" width="24.7741935483871" style="41" customWidth="1"/>
    <col min="11270" max="11270" width="32.5564516129032" style="41" customWidth="1"/>
    <col min="11271" max="11271" width="15.2258064516129" style="41" customWidth="1"/>
    <col min="11272" max="11277" width="8.66129032258065" style="41"/>
    <col min="11278" max="11278" width="55.5564516129032" style="41" customWidth="1"/>
    <col min="11279" max="11517" width="8.66129032258065" style="41"/>
    <col min="11518" max="11518" width="11.2258064516129" style="41" customWidth="1"/>
    <col min="11519" max="11519" width="30.5564516129032" style="41" customWidth="1"/>
    <col min="11520" max="11520" width="45.4354838709677" style="41" customWidth="1"/>
    <col min="11521" max="11521" width="10.2258064516129" style="41" customWidth="1"/>
    <col min="11522" max="11522" width="7.2258064516129" style="41" customWidth="1"/>
    <col min="11523" max="11523" width="11.2258064516129" style="41" customWidth="1"/>
    <col min="11524" max="11524" width="13.5564516129032" style="41" customWidth="1"/>
    <col min="11525" max="11525" width="24.7741935483871" style="41" customWidth="1"/>
    <col min="11526" max="11526" width="32.5564516129032" style="41" customWidth="1"/>
    <col min="11527" max="11527" width="15.2258064516129" style="41" customWidth="1"/>
    <col min="11528" max="11533" width="8.66129032258065" style="41"/>
    <col min="11534" max="11534" width="55.5564516129032" style="41" customWidth="1"/>
    <col min="11535" max="11773" width="8.66129032258065" style="41"/>
    <col min="11774" max="11774" width="11.2258064516129" style="41" customWidth="1"/>
    <col min="11775" max="11775" width="30.5564516129032" style="41" customWidth="1"/>
    <col min="11776" max="11776" width="45.4354838709677" style="41" customWidth="1"/>
    <col min="11777" max="11777" width="10.2258064516129" style="41" customWidth="1"/>
    <col min="11778" max="11778" width="7.2258064516129" style="41" customWidth="1"/>
    <col min="11779" max="11779" width="11.2258064516129" style="41" customWidth="1"/>
    <col min="11780" max="11780" width="13.5564516129032" style="41" customWidth="1"/>
    <col min="11781" max="11781" width="24.7741935483871" style="41" customWidth="1"/>
    <col min="11782" max="11782" width="32.5564516129032" style="41" customWidth="1"/>
    <col min="11783" max="11783" width="15.2258064516129" style="41" customWidth="1"/>
    <col min="11784" max="11789" width="8.66129032258065" style="41"/>
    <col min="11790" max="11790" width="55.5564516129032" style="41" customWidth="1"/>
    <col min="11791" max="12029" width="8.66129032258065" style="41"/>
    <col min="12030" max="12030" width="11.2258064516129" style="41" customWidth="1"/>
    <col min="12031" max="12031" width="30.5564516129032" style="41" customWidth="1"/>
    <col min="12032" max="12032" width="45.4354838709677" style="41" customWidth="1"/>
    <col min="12033" max="12033" width="10.2258064516129" style="41" customWidth="1"/>
    <col min="12034" max="12034" width="7.2258064516129" style="41" customWidth="1"/>
    <col min="12035" max="12035" width="11.2258064516129" style="41" customWidth="1"/>
    <col min="12036" max="12036" width="13.5564516129032" style="41" customWidth="1"/>
    <col min="12037" max="12037" width="24.7741935483871" style="41" customWidth="1"/>
    <col min="12038" max="12038" width="32.5564516129032" style="41" customWidth="1"/>
    <col min="12039" max="12039" width="15.2258064516129" style="41" customWidth="1"/>
    <col min="12040" max="12045" width="8.66129032258065" style="41"/>
    <col min="12046" max="12046" width="55.5564516129032" style="41" customWidth="1"/>
    <col min="12047" max="12285" width="8.66129032258065" style="41"/>
    <col min="12286" max="12286" width="11.2258064516129" style="41" customWidth="1"/>
    <col min="12287" max="12287" width="30.5564516129032" style="41" customWidth="1"/>
    <col min="12288" max="12288" width="45.4354838709677" style="41" customWidth="1"/>
    <col min="12289" max="12289" width="10.2258064516129" style="41" customWidth="1"/>
    <col min="12290" max="12290" width="7.2258064516129" style="41" customWidth="1"/>
    <col min="12291" max="12291" width="11.2258064516129" style="41" customWidth="1"/>
    <col min="12292" max="12292" width="13.5564516129032" style="41" customWidth="1"/>
    <col min="12293" max="12293" width="24.7741935483871" style="41" customWidth="1"/>
    <col min="12294" max="12294" width="32.5564516129032" style="41" customWidth="1"/>
    <col min="12295" max="12295" width="15.2258064516129" style="41" customWidth="1"/>
    <col min="12296" max="12301" width="8.66129032258065" style="41"/>
    <col min="12302" max="12302" width="55.5564516129032" style="41" customWidth="1"/>
    <col min="12303" max="12541" width="8.66129032258065" style="41"/>
    <col min="12542" max="12542" width="11.2258064516129" style="41" customWidth="1"/>
    <col min="12543" max="12543" width="30.5564516129032" style="41" customWidth="1"/>
    <col min="12544" max="12544" width="45.4354838709677" style="41" customWidth="1"/>
    <col min="12545" max="12545" width="10.2258064516129" style="41" customWidth="1"/>
    <col min="12546" max="12546" width="7.2258064516129" style="41" customWidth="1"/>
    <col min="12547" max="12547" width="11.2258064516129" style="41" customWidth="1"/>
    <col min="12548" max="12548" width="13.5564516129032" style="41" customWidth="1"/>
    <col min="12549" max="12549" width="24.7741935483871" style="41" customWidth="1"/>
    <col min="12550" max="12550" width="32.5564516129032" style="41" customWidth="1"/>
    <col min="12551" max="12551" width="15.2258064516129" style="41" customWidth="1"/>
    <col min="12552" max="12557" width="8.66129032258065" style="41"/>
    <col min="12558" max="12558" width="55.5564516129032" style="41" customWidth="1"/>
    <col min="12559" max="12797" width="8.66129032258065" style="41"/>
    <col min="12798" max="12798" width="11.2258064516129" style="41" customWidth="1"/>
    <col min="12799" max="12799" width="30.5564516129032" style="41" customWidth="1"/>
    <col min="12800" max="12800" width="45.4354838709677" style="41" customWidth="1"/>
    <col min="12801" max="12801" width="10.2258064516129" style="41" customWidth="1"/>
    <col min="12802" max="12802" width="7.2258064516129" style="41" customWidth="1"/>
    <col min="12803" max="12803" width="11.2258064516129" style="41" customWidth="1"/>
    <col min="12804" max="12804" width="13.5564516129032" style="41" customWidth="1"/>
    <col min="12805" max="12805" width="24.7741935483871" style="41" customWidth="1"/>
    <col min="12806" max="12806" width="32.5564516129032" style="41" customWidth="1"/>
    <col min="12807" max="12807" width="15.2258064516129" style="41" customWidth="1"/>
    <col min="12808" max="12813" width="8.66129032258065" style="41"/>
    <col min="12814" max="12814" width="55.5564516129032" style="41" customWidth="1"/>
    <col min="12815" max="13053" width="8.66129032258065" style="41"/>
    <col min="13054" max="13054" width="11.2258064516129" style="41" customWidth="1"/>
    <col min="13055" max="13055" width="30.5564516129032" style="41" customWidth="1"/>
    <col min="13056" max="13056" width="45.4354838709677" style="41" customWidth="1"/>
    <col min="13057" max="13057" width="10.2258064516129" style="41" customWidth="1"/>
    <col min="13058" max="13058" width="7.2258064516129" style="41" customWidth="1"/>
    <col min="13059" max="13059" width="11.2258064516129" style="41" customWidth="1"/>
    <col min="13060" max="13060" width="13.5564516129032" style="41" customWidth="1"/>
    <col min="13061" max="13061" width="24.7741935483871" style="41" customWidth="1"/>
    <col min="13062" max="13062" width="32.5564516129032" style="41" customWidth="1"/>
    <col min="13063" max="13063" width="15.2258064516129" style="41" customWidth="1"/>
    <col min="13064" max="13069" width="8.66129032258065" style="41"/>
    <col min="13070" max="13070" width="55.5564516129032" style="41" customWidth="1"/>
    <col min="13071" max="13309" width="8.66129032258065" style="41"/>
    <col min="13310" max="13310" width="11.2258064516129" style="41" customWidth="1"/>
    <col min="13311" max="13311" width="30.5564516129032" style="41" customWidth="1"/>
    <col min="13312" max="13312" width="45.4354838709677" style="41" customWidth="1"/>
    <col min="13313" max="13313" width="10.2258064516129" style="41" customWidth="1"/>
    <col min="13314" max="13314" width="7.2258064516129" style="41" customWidth="1"/>
    <col min="13315" max="13315" width="11.2258064516129" style="41" customWidth="1"/>
    <col min="13316" max="13316" width="13.5564516129032" style="41" customWidth="1"/>
    <col min="13317" max="13317" width="24.7741935483871" style="41" customWidth="1"/>
    <col min="13318" max="13318" width="32.5564516129032" style="41" customWidth="1"/>
    <col min="13319" max="13319" width="15.2258064516129" style="41" customWidth="1"/>
    <col min="13320" max="13325" width="8.66129032258065" style="41"/>
    <col min="13326" max="13326" width="55.5564516129032" style="41" customWidth="1"/>
    <col min="13327" max="13565" width="8.66129032258065" style="41"/>
    <col min="13566" max="13566" width="11.2258064516129" style="41" customWidth="1"/>
    <col min="13567" max="13567" width="30.5564516129032" style="41" customWidth="1"/>
    <col min="13568" max="13568" width="45.4354838709677" style="41" customWidth="1"/>
    <col min="13569" max="13569" width="10.2258064516129" style="41" customWidth="1"/>
    <col min="13570" max="13570" width="7.2258064516129" style="41" customWidth="1"/>
    <col min="13571" max="13571" width="11.2258064516129" style="41" customWidth="1"/>
    <col min="13572" max="13572" width="13.5564516129032" style="41" customWidth="1"/>
    <col min="13573" max="13573" width="24.7741935483871" style="41" customWidth="1"/>
    <col min="13574" max="13574" width="32.5564516129032" style="41" customWidth="1"/>
    <col min="13575" max="13575" width="15.2258064516129" style="41" customWidth="1"/>
    <col min="13576" max="13581" width="8.66129032258065" style="41"/>
    <col min="13582" max="13582" width="55.5564516129032" style="41" customWidth="1"/>
    <col min="13583" max="13821" width="8.66129032258065" style="41"/>
    <col min="13822" max="13822" width="11.2258064516129" style="41" customWidth="1"/>
    <col min="13823" max="13823" width="30.5564516129032" style="41" customWidth="1"/>
    <col min="13824" max="13824" width="45.4354838709677" style="41" customWidth="1"/>
    <col min="13825" max="13825" width="10.2258064516129" style="41" customWidth="1"/>
    <col min="13826" max="13826" width="7.2258064516129" style="41" customWidth="1"/>
    <col min="13827" max="13827" width="11.2258064516129" style="41" customWidth="1"/>
    <col min="13828" max="13828" width="13.5564516129032" style="41" customWidth="1"/>
    <col min="13829" max="13829" width="24.7741935483871" style="41" customWidth="1"/>
    <col min="13830" max="13830" width="32.5564516129032" style="41" customWidth="1"/>
    <col min="13831" max="13831" width="15.2258064516129" style="41" customWidth="1"/>
    <col min="13832" max="13837" width="8.66129032258065" style="41"/>
    <col min="13838" max="13838" width="55.5564516129032" style="41" customWidth="1"/>
    <col min="13839" max="14077" width="8.66129032258065" style="41"/>
    <col min="14078" max="14078" width="11.2258064516129" style="41" customWidth="1"/>
    <col min="14079" max="14079" width="30.5564516129032" style="41" customWidth="1"/>
    <col min="14080" max="14080" width="45.4354838709677" style="41" customWidth="1"/>
    <col min="14081" max="14081" width="10.2258064516129" style="41" customWidth="1"/>
    <col min="14082" max="14082" width="7.2258064516129" style="41" customWidth="1"/>
    <col min="14083" max="14083" width="11.2258064516129" style="41" customWidth="1"/>
    <col min="14084" max="14084" width="13.5564516129032" style="41" customWidth="1"/>
    <col min="14085" max="14085" width="24.7741935483871" style="41" customWidth="1"/>
    <col min="14086" max="14086" width="32.5564516129032" style="41" customWidth="1"/>
    <col min="14087" max="14087" width="15.2258064516129" style="41" customWidth="1"/>
    <col min="14088" max="14093" width="8.66129032258065" style="41"/>
    <col min="14094" max="14094" width="55.5564516129032" style="41" customWidth="1"/>
    <col min="14095" max="14333" width="8.66129032258065" style="41"/>
    <col min="14334" max="14334" width="11.2258064516129" style="41" customWidth="1"/>
    <col min="14335" max="14335" width="30.5564516129032" style="41" customWidth="1"/>
    <col min="14336" max="14336" width="45.4354838709677" style="41" customWidth="1"/>
    <col min="14337" max="14337" width="10.2258064516129" style="41" customWidth="1"/>
    <col min="14338" max="14338" width="7.2258064516129" style="41" customWidth="1"/>
    <col min="14339" max="14339" width="11.2258064516129" style="41" customWidth="1"/>
    <col min="14340" max="14340" width="13.5564516129032" style="41" customWidth="1"/>
    <col min="14341" max="14341" width="24.7741935483871" style="41" customWidth="1"/>
    <col min="14342" max="14342" width="32.5564516129032" style="41" customWidth="1"/>
    <col min="14343" max="14343" width="15.2258064516129" style="41" customWidth="1"/>
    <col min="14344" max="14349" width="8.66129032258065" style="41"/>
    <col min="14350" max="14350" width="55.5564516129032" style="41" customWidth="1"/>
    <col min="14351" max="14589" width="8.66129032258065" style="41"/>
    <col min="14590" max="14590" width="11.2258064516129" style="41" customWidth="1"/>
    <col min="14591" max="14591" width="30.5564516129032" style="41" customWidth="1"/>
    <col min="14592" max="14592" width="45.4354838709677" style="41" customWidth="1"/>
    <col min="14593" max="14593" width="10.2258064516129" style="41" customWidth="1"/>
    <col min="14594" max="14594" width="7.2258064516129" style="41" customWidth="1"/>
    <col min="14595" max="14595" width="11.2258064516129" style="41" customWidth="1"/>
    <col min="14596" max="14596" width="13.5564516129032" style="41" customWidth="1"/>
    <col min="14597" max="14597" width="24.7741935483871" style="41" customWidth="1"/>
    <col min="14598" max="14598" width="32.5564516129032" style="41" customWidth="1"/>
    <col min="14599" max="14599" width="15.2258064516129" style="41" customWidth="1"/>
    <col min="14600" max="14605" width="8.66129032258065" style="41"/>
    <col min="14606" max="14606" width="55.5564516129032" style="41" customWidth="1"/>
    <col min="14607" max="14845" width="8.66129032258065" style="41"/>
    <col min="14846" max="14846" width="11.2258064516129" style="41" customWidth="1"/>
    <col min="14847" max="14847" width="30.5564516129032" style="41" customWidth="1"/>
    <col min="14848" max="14848" width="45.4354838709677" style="41" customWidth="1"/>
    <col min="14849" max="14849" width="10.2258064516129" style="41" customWidth="1"/>
    <col min="14850" max="14850" width="7.2258064516129" style="41" customWidth="1"/>
    <col min="14851" max="14851" width="11.2258064516129" style="41" customWidth="1"/>
    <col min="14852" max="14852" width="13.5564516129032" style="41" customWidth="1"/>
    <col min="14853" max="14853" width="24.7741935483871" style="41" customWidth="1"/>
    <col min="14854" max="14854" width="32.5564516129032" style="41" customWidth="1"/>
    <col min="14855" max="14855" width="15.2258064516129" style="41" customWidth="1"/>
    <col min="14856" max="14861" width="8.66129032258065" style="41"/>
    <col min="14862" max="14862" width="55.5564516129032" style="41" customWidth="1"/>
    <col min="14863" max="15101" width="8.66129032258065" style="41"/>
    <col min="15102" max="15102" width="11.2258064516129" style="41" customWidth="1"/>
    <col min="15103" max="15103" width="30.5564516129032" style="41" customWidth="1"/>
    <col min="15104" max="15104" width="45.4354838709677" style="41" customWidth="1"/>
    <col min="15105" max="15105" width="10.2258064516129" style="41" customWidth="1"/>
    <col min="15106" max="15106" width="7.2258064516129" style="41" customWidth="1"/>
    <col min="15107" max="15107" width="11.2258064516129" style="41" customWidth="1"/>
    <col min="15108" max="15108" width="13.5564516129032" style="41" customWidth="1"/>
    <col min="15109" max="15109" width="24.7741935483871" style="41" customWidth="1"/>
    <col min="15110" max="15110" width="32.5564516129032" style="41" customWidth="1"/>
    <col min="15111" max="15111" width="15.2258064516129" style="41" customWidth="1"/>
    <col min="15112" max="15117" width="8.66129032258065" style="41"/>
    <col min="15118" max="15118" width="55.5564516129032" style="41" customWidth="1"/>
    <col min="15119" max="15357" width="8.66129032258065" style="41"/>
    <col min="15358" max="15358" width="11.2258064516129" style="41" customWidth="1"/>
    <col min="15359" max="15359" width="30.5564516129032" style="41" customWidth="1"/>
    <col min="15360" max="15360" width="45.4354838709677" style="41" customWidth="1"/>
    <col min="15361" max="15361" width="10.2258064516129" style="41" customWidth="1"/>
    <col min="15362" max="15362" width="7.2258064516129" style="41" customWidth="1"/>
    <col min="15363" max="15363" width="11.2258064516129" style="41" customWidth="1"/>
    <col min="15364" max="15364" width="13.5564516129032" style="41" customWidth="1"/>
    <col min="15365" max="15365" width="24.7741935483871" style="41" customWidth="1"/>
    <col min="15366" max="15366" width="32.5564516129032" style="41" customWidth="1"/>
    <col min="15367" max="15367" width="15.2258064516129" style="41" customWidth="1"/>
    <col min="15368" max="15373" width="8.66129032258065" style="41"/>
    <col min="15374" max="15374" width="55.5564516129032" style="41" customWidth="1"/>
    <col min="15375" max="15613" width="8.66129032258065" style="41"/>
    <col min="15614" max="15614" width="11.2258064516129" style="41" customWidth="1"/>
    <col min="15615" max="15615" width="30.5564516129032" style="41" customWidth="1"/>
    <col min="15616" max="15616" width="45.4354838709677" style="41" customWidth="1"/>
    <col min="15617" max="15617" width="10.2258064516129" style="41" customWidth="1"/>
    <col min="15618" max="15618" width="7.2258064516129" style="41" customWidth="1"/>
    <col min="15619" max="15619" width="11.2258064516129" style="41" customWidth="1"/>
    <col min="15620" max="15620" width="13.5564516129032" style="41" customWidth="1"/>
    <col min="15621" max="15621" width="24.7741935483871" style="41" customWidth="1"/>
    <col min="15622" max="15622" width="32.5564516129032" style="41" customWidth="1"/>
    <col min="15623" max="15623" width="15.2258064516129" style="41" customWidth="1"/>
    <col min="15624" max="15629" width="8.66129032258065" style="41"/>
    <col min="15630" max="15630" width="55.5564516129032" style="41" customWidth="1"/>
    <col min="15631" max="15869" width="8.66129032258065" style="41"/>
    <col min="15870" max="15870" width="11.2258064516129" style="41" customWidth="1"/>
    <col min="15871" max="15871" width="30.5564516129032" style="41" customWidth="1"/>
    <col min="15872" max="15872" width="45.4354838709677" style="41" customWidth="1"/>
    <col min="15873" max="15873" width="10.2258064516129" style="41" customWidth="1"/>
    <col min="15874" max="15874" width="7.2258064516129" style="41" customWidth="1"/>
    <col min="15875" max="15875" width="11.2258064516129" style="41" customWidth="1"/>
    <col min="15876" max="15876" width="13.5564516129032" style="41" customWidth="1"/>
    <col min="15877" max="15877" width="24.7741935483871" style="41" customWidth="1"/>
    <col min="15878" max="15878" width="32.5564516129032" style="41" customWidth="1"/>
    <col min="15879" max="15879" width="15.2258064516129" style="41" customWidth="1"/>
    <col min="15880" max="15885" width="8.66129032258065" style="41"/>
    <col min="15886" max="15886" width="55.5564516129032" style="41" customWidth="1"/>
    <col min="15887" max="16125" width="8.66129032258065" style="41"/>
    <col min="16126" max="16126" width="11.2258064516129" style="41" customWidth="1"/>
    <col min="16127" max="16127" width="30.5564516129032" style="41" customWidth="1"/>
    <col min="16128" max="16128" width="45.4354838709677" style="41" customWidth="1"/>
    <col min="16129" max="16129" width="10.2258064516129" style="41" customWidth="1"/>
    <col min="16130" max="16130" width="7.2258064516129" style="41" customWidth="1"/>
    <col min="16131" max="16131" width="11.2258064516129" style="41" customWidth="1"/>
    <col min="16132" max="16132" width="13.5564516129032" style="41" customWidth="1"/>
    <col min="16133" max="16133" width="24.7741935483871" style="41" customWidth="1"/>
    <col min="16134" max="16134" width="32.5564516129032" style="41" customWidth="1"/>
    <col min="16135" max="16135" width="15.2258064516129" style="41" customWidth="1"/>
    <col min="16136" max="16141" width="8.66129032258065" style="41"/>
    <col min="16142" max="16142" width="55.5564516129032" style="41" customWidth="1"/>
    <col min="16143" max="16381" width="8.66129032258065" style="41"/>
    <col min="16382" max="16384" width="9" style="41"/>
  </cols>
  <sheetData>
    <row r="1" ht="79.95" customHeight="1" spans="1:6">
      <c r="A1" s="42" t="str">
        <f>'    合 同    '!A1</f>
        <v>JIESONG INTERNATIONAL LOGISTICS CO., LTD
上海捷淞国际物流有限公司</v>
      </c>
      <c r="B1" s="43"/>
      <c r="C1" s="43"/>
      <c r="D1" s="43"/>
      <c r="E1" s="43"/>
      <c r="F1" s="43"/>
    </row>
    <row r="2" ht="56.55" customHeight="1" spans="1:6">
      <c r="A2" s="44" t="s">
        <v>44</v>
      </c>
      <c r="B2" s="45"/>
      <c r="C2" s="45"/>
      <c r="D2" s="45"/>
      <c r="E2" s="45"/>
      <c r="F2" s="45"/>
    </row>
    <row r="3" s="36" customFormat="1" ht="19.1" spans="1:6">
      <c r="A3" s="83"/>
      <c r="B3" s="84"/>
      <c r="C3" s="84"/>
      <c r="D3" s="84"/>
      <c r="E3" s="84"/>
      <c r="F3" s="53" t="str">
        <f>'    合 同    '!F3</f>
        <v>NO.: EXP260008</v>
      </c>
    </row>
    <row r="4" s="36" customFormat="1" ht="19.1" spans="1:7">
      <c r="A4" s="84"/>
      <c r="B4" s="84"/>
      <c r="C4" s="84"/>
      <c r="D4" s="84"/>
      <c r="E4" s="84"/>
      <c r="F4" s="67" t="str">
        <f>'    合 同    '!F4</f>
        <v>Date: Jun.15, 2026</v>
      </c>
      <c r="G4" s="79"/>
    </row>
    <row r="5" s="36" customFormat="1" ht="103.05" customHeight="1" spans="1:7">
      <c r="A5" s="50" t="s">
        <v>5</v>
      </c>
      <c r="B5" s="51" t="str">
        <f>'    合 同    '!B5</f>
        <v>上海捷淞国际物流有限公司
JIESONG INTERNATIONAL LOGISTICS CO., LTD
C / F, 888 Huanhu West second Road, Lingang New District, China (Shanghai) Free Trade Experimental Zone / 201306</v>
      </c>
      <c r="C5" s="51"/>
      <c r="D5" s="51"/>
      <c r="E5" s="51"/>
      <c r="F5" s="51"/>
      <c r="G5" s="80"/>
    </row>
    <row r="6" s="36" customFormat="1" ht="111" customHeight="1" spans="1:6">
      <c r="A6" s="50" t="s">
        <v>7</v>
      </c>
      <c r="B6" s="85" t="str">
        <f>'    合 同    '!B6</f>
        <v>Sp food trading LLC</v>
      </c>
      <c r="C6" s="51"/>
      <c r="D6" s="51"/>
      <c r="E6" s="51"/>
      <c r="F6" s="51"/>
    </row>
    <row r="7" s="36" customFormat="1" ht="67.5" customHeight="1" spans="1:6">
      <c r="A7" s="51" t="s">
        <v>9</v>
      </c>
      <c r="B7" s="53"/>
      <c r="C7" s="53"/>
      <c r="D7" s="53"/>
      <c r="E7" s="53"/>
      <c r="F7" s="53"/>
    </row>
    <row r="8" s="36" customFormat="1" ht="63.7" spans="1:6">
      <c r="A8" s="54" t="s">
        <v>10</v>
      </c>
      <c r="B8" s="86" t="s">
        <v>11</v>
      </c>
      <c r="C8" s="86" t="s">
        <v>12</v>
      </c>
      <c r="D8" s="54" t="str">
        <f>'    合 同    '!D8</f>
        <v>数量(单位） Quantity</v>
      </c>
      <c r="E8" s="54" t="s">
        <v>14</v>
      </c>
      <c r="F8" s="54" t="s">
        <v>15</v>
      </c>
    </row>
    <row r="9" s="36" customFormat="1" ht="22.4" spans="1:6">
      <c r="A9" s="55">
        <v>1</v>
      </c>
      <c r="B9" s="54" t="s">
        <v>16</v>
      </c>
      <c r="C9" s="56" t="str">
        <f>'    合 同    '!C9</f>
        <v>2450*340*1540</v>
      </c>
      <c r="D9" s="87">
        <f>'    合 同    '!D9</f>
        <v>2</v>
      </c>
      <c r="E9" s="98">
        <f>'    合 同    '!E9</f>
        <v>5000</v>
      </c>
      <c r="F9" s="98">
        <f>'    合 同    '!F9</f>
        <v>10000</v>
      </c>
    </row>
    <row r="10" s="36" customFormat="1" ht="22.4" spans="1:6">
      <c r="A10" s="55">
        <v>2</v>
      </c>
      <c r="B10" s="54" t="s">
        <v>18</v>
      </c>
      <c r="C10" s="56" t="str">
        <f>'    合 同    '!C10</f>
        <v>3148*1611*1150</v>
      </c>
      <c r="D10" s="87">
        <f>'    合 同    '!D10</f>
        <v>1</v>
      </c>
      <c r="E10" s="98">
        <f>'    合 同    '!E10</f>
        <v>7000</v>
      </c>
      <c r="F10" s="98">
        <f>'    合 同    '!F10</f>
        <v>7000</v>
      </c>
    </row>
    <row r="11" s="36" customFormat="1" ht="21.2" spans="1:6">
      <c r="A11" s="55">
        <v>3</v>
      </c>
      <c r="B11" s="57" t="s">
        <v>20</v>
      </c>
      <c r="C11" s="56" t="str">
        <f>'    合 同    '!C11</f>
        <v>1300*700*1000</v>
      </c>
      <c r="D11" s="87">
        <f>'    合 同    '!D11</f>
        <v>3</v>
      </c>
      <c r="E11" s="98">
        <f>'    合 同    '!E11</f>
        <v>400</v>
      </c>
      <c r="F11" s="98">
        <f>'    合 同    '!F11</f>
        <v>1200</v>
      </c>
    </row>
    <row r="12" s="36" customFormat="1" ht="21.2" spans="1:6">
      <c r="A12" s="55">
        <v>4</v>
      </c>
      <c r="B12" s="57" t="s">
        <v>22</v>
      </c>
      <c r="C12" s="56" t="str">
        <f>'    合 同    '!C12</f>
        <v>2050*1250*430</v>
      </c>
      <c r="D12" s="87">
        <f>'    合 同    '!D12</f>
        <v>22.8</v>
      </c>
      <c r="E12" s="98">
        <f>'    合 同    '!E12</f>
        <v>90</v>
      </c>
      <c r="F12" s="98">
        <f>'    合 同    '!F12</f>
        <v>2052</v>
      </c>
    </row>
    <row r="13" s="36" customFormat="1" ht="21.2" spans="1:6">
      <c r="A13" s="55">
        <v>5</v>
      </c>
      <c r="B13" s="57" t="s">
        <v>24</v>
      </c>
      <c r="C13" s="56" t="str">
        <f>'    合 同    '!C13</f>
        <v>1980*370*1020</v>
      </c>
      <c r="D13" s="87">
        <f>'    合 同    '!D13</f>
        <v>1</v>
      </c>
      <c r="E13" s="98">
        <f>'    合 同    '!E13</f>
        <v>1400</v>
      </c>
      <c r="F13" s="98">
        <f>'    合 同    '!F13</f>
        <v>1400</v>
      </c>
    </row>
    <row r="14" s="36" customFormat="1" ht="21.2" spans="1:6">
      <c r="A14" s="55">
        <v>6</v>
      </c>
      <c r="B14" s="57" t="s">
        <v>26</v>
      </c>
      <c r="C14" s="56" t="str">
        <f>'    合 同    '!C14</f>
        <v>2900*360*1195</v>
      </c>
      <c r="D14" s="87">
        <f>'    合 同    '!D14</f>
        <v>1</v>
      </c>
      <c r="E14" s="98">
        <f>'    合 同    '!E14</f>
        <v>3000</v>
      </c>
      <c r="F14" s="98">
        <f>'    合 同    '!F14</f>
        <v>3000</v>
      </c>
    </row>
    <row r="15" s="36" customFormat="1" ht="21.2" spans="1:6">
      <c r="A15" s="55">
        <v>7</v>
      </c>
      <c r="B15" s="57" t="s">
        <v>28</v>
      </c>
      <c r="C15" s="56" t="str">
        <f>'    合 同    '!C15</f>
        <v>800*800*40</v>
      </c>
      <c r="D15" s="87">
        <f>'    合 同    '!D15</f>
        <v>232</v>
      </c>
      <c r="E15" s="98">
        <f>'    合 同    '!E15</f>
        <v>13</v>
      </c>
      <c r="F15" s="98">
        <f>'    合 同    '!F15</f>
        <v>3016</v>
      </c>
    </row>
    <row r="16" s="37" customFormat="1" ht="30" customHeight="1" spans="1:6">
      <c r="A16" s="88" t="s">
        <v>30</v>
      </c>
      <c r="B16" s="89"/>
      <c r="C16" s="89"/>
      <c r="D16" s="87">
        <f>SUM(D9:D15)</f>
        <v>262.8</v>
      </c>
      <c r="E16" s="99"/>
      <c r="F16" s="100">
        <f>SUM(F9:F15)</f>
        <v>27668</v>
      </c>
    </row>
    <row r="17" s="37" customFormat="1" ht="26.55" customHeight="1" spans="1:6">
      <c r="A17" s="90" t="str">
        <f>'    合 同    '!A17</f>
        <v>（1）交货期：120days after the receiving of payment.</v>
      </c>
      <c r="B17" s="91"/>
      <c r="C17" s="91"/>
      <c r="D17" s="91"/>
      <c r="E17" s="91"/>
      <c r="F17" s="101"/>
    </row>
    <row r="18" s="82" customFormat="1" ht="26.55" customHeight="1" spans="1:7">
      <c r="A18" s="92" t="str">
        <f>'    合 同    '!A18</f>
        <v>（2）起运港：FROM SHENZHEN, CHINA TO USA</v>
      </c>
      <c r="B18" s="93"/>
      <c r="C18" s="93"/>
      <c r="D18" s="93"/>
      <c r="E18" s="93"/>
      <c r="F18" s="102"/>
      <c r="G18" s="103"/>
    </row>
    <row r="19" s="38" customFormat="1" ht="26.55" customHeight="1" spans="1:6">
      <c r="A19" s="92" t="str">
        <f>'    合 同    '!A19</f>
        <v>（3）Trade term: SHENZHEN warehouse.</v>
      </c>
      <c r="B19" s="93"/>
      <c r="C19" s="93"/>
      <c r="D19" s="93"/>
      <c r="E19" s="93"/>
      <c r="F19" s="102"/>
    </row>
    <row r="20" s="38" customFormat="1" ht="26.55" customHeight="1" spans="1:6">
      <c r="A20" s="92" t="s">
        <v>34</v>
      </c>
      <c r="B20" s="93"/>
      <c r="C20" s="93"/>
      <c r="D20" s="93"/>
      <c r="E20" s="93"/>
      <c r="F20" s="102"/>
    </row>
    <row r="21" s="38" customFormat="1" ht="26.55" customHeight="1" spans="1:6">
      <c r="A21" s="92" t="s">
        <v>35</v>
      </c>
      <c r="B21" s="93"/>
      <c r="C21" s="93"/>
      <c r="D21" s="93"/>
      <c r="E21" s="93"/>
      <c r="F21" s="102"/>
    </row>
    <row r="22" s="38" customFormat="1" ht="19.1" spans="1:24">
      <c r="A22" s="92"/>
      <c r="B22" s="93"/>
      <c r="C22" s="93"/>
      <c r="D22" s="93"/>
      <c r="E22" s="93"/>
      <c r="F22" s="102"/>
      <c r="O22" s="39"/>
      <c r="P22" s="39"/>
      <c r="Q22" s="39"/>
      <c r="R22" s="39"/>
      <c r="S22" s="39"/>
      <c r="T22" s="39"/>
      <c r="U22" s="39"/>
      <c r="V22" s="39"/>
      <c r="W22" s="39"/>
      <c r="X22" s="39"/>
    </row>
    <row r="23" s="38" customFormat="1" ht="19.95" customHeight="1" spans="1:24">
      <c r="A23" s="94" t="s">
        <v>36</v>
      </c>
      <c r="B23" s="95"/>
      <c r="C23" s="93"/>
      <c r="D23" s="93"/>
      <c r="E23" s="93"/>
      <c r="F23" s="102"/>
      <c r="O23" s="39"/>
      <c r="P23" s="39"/>
      <c r="Q23" s="39"/>
      <c r="R23" s="39"/>
      <c r="S23" s="39"/>
      <c r="T23" s="39"/>
      <c r="U23" s="39"/>
      <c r="V23" s="39"/>
      <c r="W23" s="39"/>
      <c r="X23" s="39"/>
    </row>
    <row r="24" s="38" customFormat="1" ht="19.1" spans="1:24">
      <c r="A24" s="94"/>
      <c r="B24" s="95"/>
      <c r="C24" s="93"/>
      <c r="D24" s="93"/>
      <c r="E24" s="93"/>
      <c r="F24" s="102"/>
      <c r="O24" s="39"/>
      <c r="P24" s="39"/>
      <c r="Q24" s="39"/>
      <c r="R24" s="39"/>
      <c r="S24" s="39"/>
      <c r="T24" s="39"/>
      <c r="U24" s="39"/>
      <c r="V24" s="39"/>
      <c r="W24" s="39"/>
      <c r="X24" s="39"/>
    </row>
    <row r="25" s="38" customFormat="1" ht="17.85" spans="1:24">
      <c r="A25" s="96" t="s">
        <v>37</v>
      </c>
      <c r="B25" s="97"/>
      <c r="C25" s="97"/>
      <c r="D25" s="97"/>
      <c r="E25" s="97"/>
      <c r="F25" s="104"/>
      <c r="O25" s="39"/>
      <c r="P25" s="106"/>
      <c r="Q25" s="106"/>
      <c r="R25" s="106"/>
      <c r="S25" s="106"/>
      <c r="T25" s="106"/>
      <c r="U25" s="106"/>
      <c r="V25" s="106"/>
      <c r="W25" s="106"/>
      <c r="X25" s="106"/>
    </row>
    <row r="26" s="38" customFormat="1" ht="17.85" spans="1:24">
      <c r="A26" s="96" t="s">
        <v>38</v>
      </c>
      <c r="B26" s="97"/>
      <c r="C26" s="97"/>
      <c r="D26" s="97"/>
      <c r="E26" s="97"/>
      <c r="F26" s="104"/>
      <c r="O26" s="39"/>
      <c r="P26" s="106"/>
      <c r="Q26" s="106"/>
      <c r="R26" s="106"/>
      <c r="S26" s="106"/>
      <c r="T26" s="106"/>
      <c r="U26" s="106"/>
      <c r="V26" s="106"/>
      <c r="W26" s="106"/>
      <c r="X26" s="106"/>
    </row>
    <row r="27" s="38" customFormat="1" ht="17.85" spans="1:24">
      <c r="A27" s="96" t="s">
        <v>39</v>
      </c>
      <c r="B27" s="97"/>
      <c r="C27" s="97"/>
      <c r="D27" s="97"/>
      <c r="E27" s="97"/>
      <c r="F27" s="104"/>
      <c r="O27" s="39"/>
      <c r="P27" s="106"/>
      <c r="Q27" s="106"/>
      <c r="R27" s="106"/>
      <c r="S27" s="106"/>
      <c r="T27" s="106"/>
      <c r="U27" s="106"/>
      <c r="V27" s="106"/>
      <c r="W27" s="106"/>
      <c r="X27" s="106"/>
    </row>
    <row r="28" s="38" customFormat="1" ht="17.85" spans="1:24">
      <c r="A28" s="96" t="s">
        <v>40</v>
      </c>
      <c r="B28" s="97"/>
      <c r="C28" s="97"/>
      <c r="D28" s="97"/>
      <c r="E28" s="97"/>
      <c r="F28" s="104"/>
      <c r="O28" s="39"/>
      <c r="P28" s="106"/>
      <c r="Q28" s="106"/>
      <c r="R28" s="106"/>
      <c r="S28" s="106"/>
      <c r="T28" s="106"/>
      <c r="U28" s="106"/>
      <c r="V28" s="106"/>
      <c r="W28" s="106"/>
      <c r="X28" s="106"/>
    </row>
    <row r="29" s="38" customFormat="1" ht="21" customHeight="1" spans="1:24">
      <c r="A29" s="96" t="s">
        <v>41</v>
      </c>
      <c r="B29" s="97"/>
      <c r="C29" s="97"/>
      <c r="D29" s="97"/>
      <c r="E29" s="97"/>
      <c r="F29" s="104"/>
      <c r="O29" s="39"/>
      <c r="P29" s="106"/>
      <c r="Q29" s="106"/>
      <c r="R29" s="106"/>
      <c r="S29" s="106"/>
      <c r="T29" s="106"/>
      <c r="U29" s="106"/>
      <c r="V29" s="106"/>
      <c r="W29" s="106"/>
      <c r="X29" s="106"/>
    </row>
    <row r="30" s="38" customFormat="1" ht="19.1" spans="1:24">
      <c r="A30" s="92"/>
      <c r="B30" s="93"/>
      <c r="C30" s="93"/>
      <c r="D30" s="93"/>
      <c r="E30" s="93"/>
      <c r="F30" s="102"/>
      <c r="O30" s="39"/>
      <c r="P30" s="39"/>
      <c r="Q30" s="39"/>
      <c r="R30" s="39"/>
      <c r="S30" s="39"/>
      <c r="T30" s="39"/>
      <c r="U30" s="39"/>
      <c r="V30" s="39"/>
      <c r="W30" s="39"/>
      <c r="X30" s="39"/>
    </row>
    <row r="31" s="38" customFormat="1" ht="19.1" spans="1:6">
      <c r="A31" s="92"/>
      <c r="B31" s="93"/>
      <c r="C31" s="93"/>
      <c r="D31" s="93"/>
      <c r="E31" s="93"/>
      <c r="F31" s="102"/>
    </row>
    <row r="32" s="38" customFormat="1" ht="19.1" spans="1:6">
      <c r="A32" s="92"/>
      <c r="B32" s="93"/>
      <c r="C32" s="93"/>
      <c r="D32" s="93"/>
      <c r="E32" s="93"/>
      <c r="F32" s="102"/>
    </row>
    <row r="33" s="38" customFormat="1" ht="19.1" spans="1:6">
      <c r="A33" s="62"/>
      <c r="B33" s="64"/>
      <c r="C33" s="64"/>
      <c r="D33" s="64"/>
      <c r="E33" s="64"/>
      <c r="F33" s="105"/>
    </row>
    <row r="34" s="38" customFormat="1" ht="19.1" spans="1:6">
      <c r="A34" s="59" t="s">
        <v>42</v>
      </c>
      <c r="B34" s="61"/>
      <c r="C34" s="61"/>
      <c r="D34" s="73" t="s">
        <v>43</v>
      </c>
      <c r="E34" s="74"/>
      <c r="F34" s="75"/>
    </row>
    <row r="35" s="39" customFormat="1" ht="109.5" customHeight="1" spans="1:6">
      <c r="A35" s="62" t="str">
        <f>B5</f>
        <v>上海捷淞国际物流有限公司
JIESONG INTERNATIONAL LOGISTICS CO., LTD
C / F, 888 Huanhu West second Road, Lingang New District, China (Shanghai) Free Trade Experimental Zone / 201306</v>
      </c>
      <c r="B35" s="64"/>
      <c r="C35" s="64"/>
      <c r="D35" s="76" t="str">
        <f>B6</f>
        <v>Sp food trading LLC</v>
      </c>
      <c r="E35" s="77"/>
      <c r="F35" s="78"/>
    </row>
    <row r="36" s="36" customFormat="1" spans="1:6">
      <c r="A36" s="65"/>
      <c r="B36" s="65"/>
      <c r="C36" s="65"/>
      <c r="D36" s="65"/>
      <c r="E36" s="65"/>
      <c r="F36" s="65"/>
    </row>
  </sheetData>
  <mergeCells count="22">
    <mergeCell ref="A1:F1"/>
    <mergeCell ref="A2:F2"/>
    <mergeCell ref="B5:F5"/>
    <mergeCell ref="B6:F6"/>
    <mergeCell ref="A7:F7"/>
    <mergeCell ref="A16:C16"/>
    <mergeCell ref="A17:F17"/>
    <mergeCell ref="A18:F18"/>
    <mergeCell ref="A19:F19"/>
    <mergeCell ref="A20:F20"/>
    <mergeCell ref="A21:F21"/>
    <mergeCell ref="A25:F25"/>
    <mergeCell ref="A26:F26"/>
    <mergeCell ref="A27:F27"/>
    <mergeCell ref="A28:F28"/>
    <mergeCell ref="A29:F29"/>
    <mergeCell ref="A34:C34"/>
    <mergeCell ref="D34:F34"/>
    <mergeCell ref="A35:C35"/>
    <mergeCell ref="D35:F35"/>
    <mergeCell ref="A3:E4"/>
    <mergeCell ref="A23:B24"/>
  </mergeCells>
  <pageMargins left="0.699305555555556" right="0.699305555555556" top="0.75" bottom="0.75" header="0.3" footer="0.3"/>
  <pageSetup paperSize="9" scale="45"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pageSetUpPr fitToPage="1"/>
  </sheetPr>
  <dimension ref="A1:L19"/>
  <sheetViews>
    <sheetView tabSelected="1" zoomScale="89" zoomScaleNormal="89" topLeftCell="C1" workbookViewId="0">
      <selection activeCell="F16" sqref="F16"/>
    </sheetView>
  </sheetViews>
  <sheetFormatPr defaultColWidth="8.70967741935484" defaultRowHeight="16.45"/>
  <cols>
    <col min="1" max="1" width="12.0967741935484" style="40" customWidth="1"/>
    <col min="2" max="2" width="63.8306451612903" style="40" customWidth="1"/>
    <col min="3" max="3" width="31.4354838709677" style="40" customWidth="1"/>
    <col min="4" max="4" width="24.3306451612903" style="40" customWidth="1"/>
    <col min="5" max="5" width="18.1290322580645" style="40" customWidth="1"/>
    <col min="6" max="7" width="26.5564516129032" style="40" customWidth="1"/>
    <col min="8" max="8" width="29" style="40" customWidth="1"/>
    <col min="9" max="9" width="9.64516129032258" style="41" customWidth="1"/>
    <col min="10" max="10" width="9" style="36" customWidth="1"/>
    <col min="11" max="11" width="78.9274193548387" style="36" customWidth="1"/>
    <col min="12" max="12" width="17.8870967741935" style="36" customWidth="1"/>
    <col min="13" max="15" width="9" style="36" customWidth="1"/>
    <col min="16" max="16" width="55.5564516129032" style="41" customWidth="1"/>
    <col min="17" max="17" width="9" style="41" customWidth="1"/>
    <col min="18" max="18" width="59.2258064516129" style="41" customWidth="1"/>
    <col min="19" max="24" width="8.66129032258065" style="41"/>
    <col min="25" max="26" width="9" style="41" customWidth="1"/>
    <col min="27" max="255" width="8.66129032258065" style="41"/>
    <col min="256" max="256" width="11.2258064516129" style="41" customWidth="1"/>
    <col min="257" max="257" width="30.5564516129032" style="41" customWidth="1"/>
    <col min="258" max="258" width="45.4354838709677" style="41" customWidth="1"/>
    <col min="259" max="259" width="10.2258064516129" style="41" customWidth="1"/>
    <col min="260" max="260" width="7.2258064516129" style="41" customWidth="1"/>
    <col min="261" max="261" width="11.2258064516129" style="41" customWidth="1"/>
    <col min="262" max="262" width="13.5564516129032" style="41" customWidth="1"/>
    <col min="263" max="263" width="24.7741935483871" style="41" customWidth="1"/>
    <col min="264" max="264" width="32.5564516129032" style="41" customWidth="1"/>
    <col min="265" max="265" width="15.2258064516129" style="41" customWidth="1"/>
    <col min="266" max="271" width="8.66129032258065" style="41"/>
    <col min="272" max="272" width="55.5564516129032" style="41" customWidth="1"/>
    <col min="273" max="511" width="8.66129032258065" style="41"/>
    <col min="512" max="512" width="11.2258064516129" style="41" customWidth="1"/>
    <col min="513" max="513" width="30.5564516129032" style="41" customWidth="1"/>
    <col min="514" max="514" width="45.4354838709677" style="41" customWidth="1"/>
    <col min="515" max="515" width="10.2258064516129" style="41" customWidth="1"/>
    <col min="516" max="516" width="7.2258064516129" style="41" customWidth="1"/>
    <col min="517" max="517" width="11.2258064516129" style="41" customWidth="1"/>
    <col min="518" max="518" width="13.5564516129032" style="41" customWidth="1"/>
    <col min="519" max="519" width="24.7741935483871" style="41" customWidth="1"/>
    <col min="520" max="520" width="32.5564516129032" style="41" customWidth="1"/>
    <col min="521" max="521" width="15.2258064516129" style="41" customWidth="1"/>
    <col min="522" max="527" width="8.66129032258065" style="41"/>
    <col min="528" max="528" width="55.5564516129032" style="41" customWidth="1"/>
    <col min="529" max="767" width="8.66129032258065" style="41"/>
    <col min="768" max="768" width="11.2258064516129" style="41" customWidth="1"/>
    <col min="769" max="769" width="30.5564516129032" style="41" customWidth="1"/>
    <col min="770" max="770" width="45.4354838709677" style="41" customWidth="1"/>
    <col min="771" max="771" width="10.2258064516129" style="41" customWidth="1"/>
    <col min="772" max="772" width="7.2258064516129" style="41" customWidth="1"/>
    <col min="773" max="773" width="11.2258064516129" style="41" customWidth="1"/>
    <col min="774" max="774" width="13.5564516129032" style="41" customWidth="1"/>
    <col min="775" max="775" width="24.7741935483871" style="41" customWidth="1"/>
    <col min="776" max="776" width="32.5564516129032" style="41" customWidth="1"/>
    <col min="777" max="777" width="15.2258064516129" style="41" customWidth="1"/>
    <col min="778" max="783" width="8.66129032258065" style="41"/>
    <col min="784" max="784" width="55.5564516129032" style="41" customWidth="1"/>
    <col min="785" max="1023" width="8.66129032258065" style="41"/>
    <col min="1024" max="1024" width="11.2258064516129" style="41" customWidth="1"/>
    <col min="1025" max="1025" width="30.5564516129032" style="41" customWidth="1"/>
    <col min="1026" max="1026" width="45.4354838709677" style="41" customWidth="1"/>
    <col min="1027" max="1027" width="10.2258064516129" style="41" customWidth="1"/>
    <col min="1028" max="1028" width="7.2258064516129" style="41" customWidth="1"/>
    <col min="1029" max="1029" width="11.2258064516129" style="41" customWidth="1"/>
    <col min="1030" max="1030" width="13.5564516129032" style="41" customWidth="1"/>
    <col min="1031" max="1031" width="24.7741935483871" style="41" customWidth="1"/>
    <col min="1032" max="1032" width="32.5564516129032" style="41" customWidth="1"/>
    <col min="1033" max="1033" width="15.2258064516129" style="41" customWidth="1"/>
    <col min="1034" max="1039" width="8.66129032258065" style="41"/>
    <col min="1040" max="1040" width="55.5564516129032" style="41" customWidth="1"/>
    <col min="1041" max="1279" width="8.66129032258065" style="41"/>
    <col min="1280" max="1280" width="11.2258064516129" style="41" customWidth="1"/>
    <col min="1281" max="1281" width="30.5564516129032" style="41" customWidth="1"/>
    <col min="1282" max="1282" width="45.4354838709677" style="41" customWidth="1"/>
    <col min="1283" max="1283" width="10.2258064516129" style="41" customWidth="1"/>
    <col min="1284" max="1284" width="7.2258064516129" style="41" customWidth="1"/>
    <col min="1285" max="1285" width="11.2258064516129" style="41" customWidth="1"/>
    <col min="1286" max="1286" width="13.5564516129032" style="41" customWidth="1"/>
    <col min="1287" max="1287" width="24.7741935483871" style="41" customWidth="1"/>
    <col min="1288" max="1288" width="32.5564516129032" style="41" customWidth="1"/>
    <col min="1289" max="1289" width="15.2258064516129" style="41" customWidth="1"/>
    <col min="1290" max="1295" width="8.66129032258065" style="41"/>
    <col min="1296" max="1296" width="55.5564516129032" style="41" customWidth="1"/>
    <col min="1297" max="1535" width="8.66129032258065" style="41"/>
    <col min="1536" max="1536" width="11.2258064516129" style="41" customWidth="1"/>
    <col min="1537" max="1537" width="30.5564516129032" style="41" customWidth="1"/>
    <col min="1538" max="1538" width="45.4354838709677" style="41" customWidth="1"/>
    <col min="1539" max="1539" width="10.2258064516129" style="41" customWidth="1"/>
    <col min="1540" max="1540" width="7.2258064516129" style="41" customWidth="1"/>
    <col min="1541" max="1541" width="11.2258064516129" style="41" customWidth="1"/>
    <col min="1542" max="1542" width="13.5564516129032" style="41" customWidth="1"/>
    <col min="1543" max="1543" width="24.7741935483871" style="41" customWidth="1"/>
    <col min="1544" max="1544" width="32.5564516129032" style="41" customWidth="1"/>
    <col min="1545" max="1545" width="15.2258064516129" style="41" customWidth="1"/>
    <col min="1546" max="1551" width="8.66129032258065" style="41"/>
    <col min="1552" max="1552" width="55.5564516129032" style="41" customWidth="1"/>
    <col min="1553" max="1791" width="8.66129032258065" style="41"/>
    <col min="1792" max="1792" width="11.2258064516129" style="41" customWidth="1"/>
    <col min="1793" max="1793" width="30.5564516129032" style="41" customWidth="1"/>
    <col min="1794" max="1794" width="45.4354838709677" style="41" customWidth="1"/>
    <col min="1795" max="1795" width="10.2258064516129" style="41" customWidth="1"/>
    <col min="1796" max="1796" width="7.2258064516129" style="41" customWidth="1"/>
    <col min="1797" max="1797" width="11.2258064516129" style="41" customWidth="1"/>
    <col min="1798" max="1798" width="13.5564516129032" style="41" customWidth="1"/>
    <col min="1799" max="1799" width="24.7741935483871" style="41" customWidth="1"/>
    <col min="1800" max="1800" width="32.5564516129032" style="41" customWidth="1"/>
    <col min="1801" max="1801" width="15.2258064516129" style="41" customWidth="1"/>
    <col min="1802" max="1807" width="8.66129032258065" style="41"/>
    <col min="1808" max="1808" width="55.5564516129032" style="41" customWidth="1"/>
    <col min="1809" max="2047" width="8.66129032258065" style="41"/>
    <col min="2048" max="2048" width="11.2258064516129" style="41" customWidth="1"/>
    <col min="2049" max="2049" width="30.5564516129032" style="41" customWidth="1"/>
    <col min="2050" max="2050" width="45.4354838709677" style="41" customWidth="1"/>
    <col min="2051" max="2051" width="10.2258064516129" style="41" customWidth="1"/>
    <col min="2052" max="2052" width="7.2258064516129" style="41" customWidth="1"/>
    <col min="2053" max="2053" width="11.2258064516129" style="41" customWidth="1"/>
    <col min="2054" max="2054" width="13.5564516129032" style="41" customWidth="1"/>
    <col min="2055" max="2055" width="24.7741935483871" style="41" customWidth="1"/>
    <col min="2056" max="2056" width="32.5564516129032" style="41" customWidth="1"/>
    <col min="2057" max="2057" width="15.2258064516129" style="41" customWidth="1"/>
    <col min="2058" max="2063" width="8.66129032258065" style="41"/>
    <col min="2064" max="2064" width="55.5564516129032" style="41" customWidth="1"/>
    <col min="2065" max="2303" width="8.66129032258065" style="41"/>
    <col min="2304" max="2304" width="11.2258064516129" style="41" customWidth="1"/>
    <col min="2305" max="2305" width="30.5564516129032" style="41" customWidth="1"/>
    <col min="2306" max="2306" width="45.4354838709677" style="41" customWidth="1"/>
    <col min="2307" max="2307" width="10.2258064516129" style="41" customWidth="1"/>
    <col min="2308" max="2308" width="7.2258064516129" style="41" customWidth="1"/>
    <col min="2309" max="2309" width="11.2258064516129" style="41" customWidth="1"/>
    <col min="2310" max="2310" width="13.5564516129032" style="41" customWidth="1"/>
    <col min="2311" max="2311" width="24.7741935483871" style="41" customWidth="1"/>
    <col min="2312" max="2312" width="32.5564516129032" style="41" customWidth="1"/>
    <col min="2313" max="2313" width="15.2258064516129" style="41" customWidth="1"/>
    <col min="2314" max="2319" width="8.66129032258065" style="41"/>
    <col min="2320" max="2320" width="55.5564516129032" style="41" customWidth="1"/>
    <col min="2321" max="2559" width="8.66129032258065" style="41"/>
    <col min="2560" max="2560" width="11.2258064516129" style="41" customWidth="1"/>
    <col min="2561" max="2561" width="30.5564516129032" style="41" customWidth="1"/>
    <col min="2562" max="2562" width="45.4354838709677" style="41" customWidth="1"/>
    <col min="2563" max="2563" width="10.2258064516129" style="41" customWidth="1"/>
    <col min="2564" max="2564" width="7.2258064516129" style="41" customWidth="1"/>
    <col min="2565" max="2565" width="11.2258064516129" style="41" customWidth="1"/>
    <col min="2566" max="2566" width="13.5564516129032" style="41" customWidth="1"/>
    <col min="2567" max="2567" width="24.7741935483871" style="41" customWidth="1"/>
    <col min="2568" max="2568" width="32.5564516129032" style="41" customWidth="1"/>
    <col min="2569" max="2569" width="15.2258064516129" style="41" customWidth="1"/>
    <col min="2570" max="2575" width="8.66129032258065" style="41"/>
    <col min="2576" max="2576" width="55.5564516129032" style="41" customWidth="1"/>
    <col min="2577" max="2815" width="8.66129032258065" style="41"/>
    <col min="2816" max="2816" width="11.2258064516129" style="41" customWidth="1"/>
    <col min="2817" max="2817" width="30.5564516129032" style="41" customWidth="1"/>
    <col min="2818" max="2818" width="45.4354838709677" style="41" customWidth="1"/>
    <col min="2819" max="2819" width="10.2258064516129" style="41" customWidth="1"/>
    <col min="2820" max="2820" width="7.2258064516129" style="41" customWidth="1"/>
    <col min="2821" max="2821" width="11.2258064516129" style="41" customWidth="1"/>
    <col min="2822" max="2822" width="13.5564516129032" style="41" customWidth="1"/>
    <col min="2823" max="2823" width="24.7741935483871" style="41" customWidth="1"/>
    <col min="2824" max="2824" width="32.5564516129032" style="41" customWidth="1"/>
    <col min="2825" max="2825" width="15.2258064516129" style="41" customWidth="1"/>
    <col min="2826" max="2831" width="8.66129032258065" style="41"/>
    <col min="2832" max="2832" width="55.5564516129032" style="41" customWidth="1"/>
    <col min="2833" max="3071" width="8.66129032258065" style="41"/>
    <col min="3072" max="3072" width="11.2258064516129" style="41" customWidth="1"/>
    <col min="3073" max="3073" width="30.5564516129032" style="41" customWidth="1"/>
    <col min="3074" max="3074" width="45.4354838709677" style="41" customWidth="1"/>
    <col min="3075" max="3075" width="10.2258064516129" style="41" customWidth="1"/>
    <col min="3076" max="3076" width="7.2258064516129" style="41" customWidth="1"/>
    <col min="3077" max="3077" width="11.2258064516129" style="41" customWidth="1"/>
    <col min="3078" max="3078" width="13.5564516129032" style="41" customWidth="1"/>
    <col min="3079" max="3079" width="24.7741935483871" style="41" customWidth="1"/>
    <col min="3080" max="3080" width="32.5564516129032" style="41" customWidth="1"/>
    <col min="3081" max="3081" width="15.2258064516129" style="41" customWidth="1"/>
    <col min="3082" max="3087" width="8.66129032258065" style="41"/>
    <col min="3088" max="3088" width="55.5564516129032" style="41" customWidth="1"/>
    <col min="3089" max="3327" width="8.66129032258065" style="41"/>
    <col min="3328" max="3328" width="11.2258064516129" style="41" customWidth="1"/>
    <col min="3329" max="3329" width="30.5564516129032" style="41" customWidth="1"/>
    <col min="3330" max="3330" width="45.4354838709677" style="41" customWidth="1"/>
    <col min="3331" max="3331" width="10.2258064516129" style="41" customWidth="1"/>
    <col min="3332" max="3332" width="7.2258064516129" style="41" customWidth="1"/>
    <col min="3333" max="3333" width="11.2258064516129" style="41" customWidth="1"/>
    <col min="3334" max="3334" width="13.5564516129032" style="41" customWidth="1"/>
    <col min="3335" max="3335" width="24.7741935483871" style="41" customWidth="1"/>
    <col min="3336" max="3336" width="32.5564516129032" style="41" customWidth="1"/>
    <col min="3337" max="3337" width="15.2258064516129" style="41" customWidth="1"/>
    <col min="3338" max="3343" width="8.66129032258065" style="41"/>
    <col min="3344" max="3344" width="55.5564516129032" style="41" customWidth="1"/>
    <col min="3345" max="3583" width="8.66129032258065" style="41"/>
    <col min="3584" max="3584" width="11.2258064516129" style="41" customWidth="1"/>
    <col min="3585" max="3585" width="30.5564516129032" style="41" customWidth="1"/>
    <col min="3586" max="3586" width="45.4354838709677" style="41" customWidth="1"/>
    <col min="3587" max="3587" width="10.2258064516129" style="41" customWidth="1"/>
    <col min="3588" max="3588" width="7.2258064516129" style="41" customWidth="1"/>
    <col min="3589" max="3589" width="11.2258064516129" style="41" customWidth="1"/>
    <col min="3590" max="3590" width="13.5564516129032" style="41" customWidth="1"/>
    <col min="3591" max="3591" width="24.7741935483871" style="41" customWidth="1"/>
    <col min="3592" max="3592" width="32.5564516129032" style="41" customWidth="1"/>
    <col min="3593" max="3593" width="15.2258064516129" style="41" customWidth="1"/>
    <col min="3594" max="3599" width="8.66129032258065" style="41"/>
    <col min="3600" max="3600" width="55.5564516129032" style="41" customWidth="1"/>
    <col min="3601" max="3839" width="8.66129032258065" style="41"/>
    <col min="3840" max="3840" width="11.2258064516129" style="41" customWidth="1"/>
    <col min="3841" max="3841" width="30.5564516129032" style="41" customWidth="1"/>
    <col min="3842" max="3842" width="45.4354838709677" style="41" customWidth="1"/>
    <col min="3843" max="3843" width="10.2258064516129" style="41" customWidth="1"/>
    <col min="3844" max="3844" width="7.2258064516129" style="41" customWidth="1"/>
    <col min="3845" max="3845" width="11.2258064516129" style="41" customWidth="1"/>
    <col min="3846" max="3846" width="13.5564516129032" style="41" customWidth="1"/>
    <col min="3847" max="3847" width="24.7741935483871" style="41" customWidth="1"/>
    <col min="3848" max="3848" width="32.5564516129032" style="41" customWidth="1"/>
    <col min="3849" max="3849" width="15.2258064516129" style="41" customWidth="1"/>
    <col min="3850" max="3855" width="8.66129032258065" style="41"/>
    <col min="3856" max="3856" width="55.5564516129032" style="41" customWidth="1"/>
    <col min="3857" max="4095" width="8.66129032258065" style="41"/>
    <col min="4096" max="4096" width="11.2258064516129" style="41" customWidth="1"/>
    <col min="4097" max="4097" width="30.5564516129032" style="41" customWidth="1"/>
    <col min="4098" max="4098" width="45.4354838709677" style="41" customWidth="1"/>
    <col min="4099" max="4099" width="10.2258064516129" style="41" customWidth="1"/>
    <col min="4100" max="4100" width="7.2258064516129" style="41" customWidth="1"/>
    <col min="4101" max="4101" width="11.2258064516129" style="41" customWidth="1"/>
    <col min="4102" max="4102" width="13.5564516129032" style="41" customWidth="1"/>
    <col min="4103" max="4103" width="24.7741935483871" style="41" customWidth="1"/>
    <col min="4104" max="4104" width="32.5564516129032" style="41" customWidth="1"/>
    <col min="4105" max="4105" width="15.2258064516129" style="41" customWidth="1"/>
    <col min="4106" max="4111" width="8.66129032258065" style="41"/>
    <col min="4112" max="4112" width="55.5564516129032" style="41" customWidth="1"/>
    <col min="4113" max="4351" width="8.66129032258065" style="41"/>
    <col min="4352" max="4352" width="11.2258064516129" style="41" customWidth="1"/>
    <col min="4353" max="4353" width="30.5564516129032" style="41" customWidth="1"/>
    <col min="4354" max="4354" width="45.4354838709677" style="41" customWidth="1"/>
    <col min="4355" max="4355" width="10.2258064516129" style="41" customWidth="1"/>
    <col min="4356" max="4356" width="7.2258064516129" style="41" customWidth="1"/>
    <col min="4357" max="4357" width="11.2258064516129" style="41" customWidth="1"/>
    <col min="4358" max="4358" width="13.5564516129032" style="41" customWidth="1"/>
    <col min="4359" max="4359" width="24.7741935483871" style="41" customWidth="1"/>
    <col min="4360" max="4360" width="32.5564516129032" style="41" customWidth="1"/>
    <col min="4361" max="4361" width="15.2258064516129" style="41" customWidth="1"/>
    <col min="4362" max="4367" width="8.66129032258065" style="41"/>
    <col min="4368" max="4368" width="55.5564516129032" style="41" customWidth="1"/>
    <col min="4369" max="4607" width="8.66129032258065" style="41"/>
    <col min="4608" max="4608" width="11.2258064516129" style="41" customWidth="1"/>
    <col min="4609" max="4609" width="30.5564516129032" style="41" customWidth="1"/>
    <col min="4610" max="4610" width="45.4354838709677" style="41" customWidth="1"/>
    <col min="4611" max="4611" width="10.2258064516129" style="41" customWidth="1"/>
    <col min="4612" max="4612" width="7.2258064516129" style="41" customWidth="1"/>
    <col min="4613" max="4613" width="11.2258064516129" style="41" customWidth="1"/>
    <col min="4614" max="4614" width="13.5564516129032" style="41" customWidth="1"/>
    <col min="4615" max="4615" width="24.7741935483871" style="41" customWidth="1"/>
    <col min="4616" max="4616" width="32.5564516129032" style="41" customWidth="1"/>
    <col min="4617" max="4617" width="15.2258064516129" style="41" customWidth="1"/>
    <col min="4618" max="4623" width="8.66129032258065" style="41"/>
    <col min="4624" max="4624" width="55.5564516129032" style="41" customWidth="1"/>
    <col min="4625" max="4863" width="8.66129032258065" style="41"/>
    <col min="4864" max="4864" width="11.2258064516129" style="41" customWidth="1"/>
    <col min="4865" max="4865" width="30.5564516129032" style="41" customWidth="1"/>
    <col min="4866" max="4866" width="45.4354838709677" style="41" customWidth="1"/>
    <col min="4867" max="4867" width="10.2258064516129" style="41" customWidth="1"/>
    <col min="4868" max="4868" width="7.2258064516129" style="41" customWidth="1"/>
    <col min="4869" max="4869" width="11.2258064516129" style="41" customWidth="1"/>
    <col min="4870" max="4870" width="13.5564516129032" style="41" customWidth="1"/>
    <col min="4871" max="4871" width="24.7741935483871" style="41" customWidth="1"/>
    <col min="4872" max="4872" width="32.5564516129032" style="41" customWidth="1"/>
    <col min="4873" max="4873" width="15.2258064516129" style="41" customWidth="1"/>
    <col min="4874" max="4879" width="8.66129032258065" style="41"/>
    <col min="4880" max="4880" width="55.5564516129032" style="41" customWidth="1"/>
    <col min="4881" max="5119" width="8.66129032258065" style="41"/>
    <col min="5120" max="5120" width="11.2258064516129" style="41" customWidth="1"/>
    <col min="5121" max="5121" width="30.5564516129032" style="41" customWidth="1"/>
    <col min="5122" max="5122" width="45.4354838709677" style="41" customWidth="1"/>
    <col min="5123" max="5123" width="10.2258064516129" style="41" customWidth="1"/>
    <col min="5124" max="5124" width="7.2258064516129" style="41" customWidth="1"/>
    <col min="5125" max="5125" width="11.2258064516129" style="41" customWidth="1"/>
    <col min="5126" max="5126" width="13.5564516129032" style="41" customWidth="1"/>
    <col min="5127" max="5127" width="24.7741935483871" style="41" customWidth="1"/>
    <col min="5128" max="5128" width="32.5564516129032" style="41" customWidth="1"/>
    <col min="5129" max="5129" width="15.2258064516129" style="41" customWidth="1"/>
    <col min="5130" max="5135" width="8.66129032258065" style="41"/>
    <col min="5136" max="5136" width="55.5564516129032" style="41" customWidth="1"/>
    <col min="5137" max="5375" width="8.66129032258065" style="41"/>
    <col min="5376" max="5376" width="11.2258064516129" style="41" customWidth="1"/>
    <col min="5377" max="5377" width="30.5564516129032" style="41" customWidth="1"/>
    <col min="5378" max="5378" width="45.4354838709677" style="41" customWidth="1"/>
    <col min="5379" max="5379" width="10.2258064516129" style="41" customWidth="1"/>
    <col min="5380" max="5380" width="7.2258064516129" style="41" customWidth="1"/>
    <col min="5381" max="5381" width="11.2258064516129" style="41" customWidth="1"/>
    <col min="5382" max="5382" width="13.5564516129032" style="41" customWidth="1"/>
    <col min="5383" max="5383" width="24.7741935483871" style="41" customWidth="1"/>
    <col min="5384" max="5384" width="32.5564516129032" style="41" customWidth="1"/>
    <col min="5385" max="5385" width="15.2258064516129" style="41" customWidth="1"/>
    <col min="5386" max="5391" width="8.66129032258065" style="41"/>
    <col min="5392" max="5392" width="55.5564516129032" style="41" customWidth="1"/>
    <col min="5393" max="5631" width="8.66129032258065" style="41"/>
    <col min="5632" max="5632" width="11.2258064516129" style="41" customWidth="1"/>
    <col min="5633" max="5633" width="30.5564516129032" style="41" customWidth="1"/>
    <col min="5634" max="5634" width="45.4354838709677" style="41" customWidth="1"/>
    <col min="5635" max="5635" width="10.2258064516129" style="41" customWidth="1"/>
    <col min="5636" max="5636" width="7.2258064516129" style="41" customWidth="1"/>
    <col min="5637" max="5637" width="11.2258064516129" style="41" customWidth="1"/>
    <col min="5638" max="5638" width="13.5564516129032" style="41" customWidth="1"/>
    <col min="5639" max="5639" width="24.7741935483871" style="41" customWidth="1"/>
    <col min="5640" max="5640" width="32.5564516129032" style="41" customWidth="1"/>
    <col min="5641" max="5641" width="15.2258064516129" style="41" customWidth="1"/>
    <col min="5642" max="5647" width="8.66129032258065" style="41"/>
    <col min="5648" max="5648" width="55.5564516129032" style="41" customWidth="1"/>
    <col min="5649" max="5887" width="8.66129032258065" style="41"/>
    <col min="5888" max="5888" width="11.2258064516129" style="41" customWidth="1"/>
    <col min="5889" max="5889" width="30.5564516129032" style="41" customWidth="1"/>
    <col min="5890" max="5890" width="45.4354838709677" style="41" customWidth="1"/>
    <col min="5891" max="5891" width="10.2258064516129" style="41" customWidth="1"/>
    <col min="5892" max="5892" width="7.2258064516129" style="41" customWidth="1"/>
    <col min="5893" max="5893" width="11.2258064516129" style="41" customWidth="1"/>
    <col min="5894" max="5894" width="13.5564516129032" style="41" customWidth="1"/>
    <col min="5895" max="5895" width="24.7741935483871" style="41" customWidth="1"/>
    <col min="5896" max="5896" width="32.5564516129032" style="41" customWidth="1"/>
    <col min="5897" max="5897" width="15.2258064516129" style="41" customWidth="1"/>
    <col min="5898" max="5903" width="8.66129032258065" style="41"/>
    <col min="5904" max="5904" width="55.5564516129032" style="41" customWidth="1"/>
    <col min="5905" max="6143" width="8.66129032258065" style="41"/>
    <col min="6144" max="6144" width="11.2258064516129" style="41" customWidth="1"/>
    <col min="6145" max="6145" width="30.5564516129032" style="41" customWidth="1"/>
    <col min="6146" max="6146" width="45.4354838709677" style="41" customWidth="1"/>
    <col min="6147" max="6147" width="10.2258064516129" style="41" customWidth="1"/>
    <col min="6148" max="6148" width="7.2258064516129" style="41" customWidth="1"/>
    <col min="6149" max="6149" width="11.2258064516129" style="41" customWidth="1"/>
    <col min="6150" max="6150" width="13.5564516129032" style="41" customWidth="1"/>
    <col min="6151" max="6151" width="24.7741935483871" style="41" customWidth="1"/>
    <col min="6152" max="6152" width="32.5564516129032" style="41" customWidth="1"/>
    <col min="6153" max="6153" width="15.2258064516129" style="41" customWidth="1"/>
    <col min="6154" max="6159" width="8.66129032258065" style="41"/>
    <col min="6160" max="6160" width="55.5564516129032" style="41" customWidth="1"/>
    <col min="6161" max="6399" width="8.66129032258065" style="41"/>
    <col min="6400" max="6400" width="11.2258064516129" style="41" customWidth="1"/>
    <col min="6401" max="6401" width="30.5564516129032" style="41" customWidth="1"/>
    <col min="6402" max="6402" width="45.4354838709677" style="41" customWidth="1"/>
    <col min="6403" max="6403" width="10.2258064516129" style="41" customWidth="1"/>
    <col min="6404" max="6404" width="7.2258064516129" style="41" customWidth="1"/>
    <col min="6405" max="6405" width="11.2258064516129" style="41" customWidth="1"/>
    <col min="6406" max="6406" width="13.5564516129032" style="41" customWidth="1"/>
    <col min="6407" max="6407" width="24.7741935483871" style="41" customWidth="1"/>
    <col min="6408" max="6408" width="32.5564516129032" style="41" customWidth="1"/>
    <col min="6409" max="6409" width="15.2258064516129" style="41" customWidth="1"/>
    <col min="6410" max="6415" width="8.66129032258065" style="41"/>
    <col min="6416" max="6416" width="55.5564516129032" style="41" customWidth="1"/>
    <col min="6417" max="6655" width="8.66129032258065" style="41"/>
    <col min="6656" max="6656" width="11.2258064516129" style="41" customWidth="1"/>
    <col min="6657" max="6657" width="30.5564516129032" style="41" customWidth="1"/>
    <col min="6658" max="6658" width="45.4354838709677" style="41" customWidth="1"/>
    <col min="6659" max="6659" width="10.2258064516129" style="41" customWidth="1"/>
    <col min="6660" max="6660" width="7.2258064516129" style="41" customWidth="1"/>
    <col min="6661" max="6661" width="11.2258064516129" style="41" customWidth="1"/>
    <col min="6662" max="6662" width="13.5564516129032" style="41" customWidth="1"/>
    <col min="6663" max="6663" width="24.7741935483871" style="41" customWidth="1"/>
    <col min="6664" max="6664" width="32.5564516129032" style="41" customWidth="1"/>
    <col min="6665" max="6665" width="15.2258064516129" style="41" customWidth="1"/>
    <col min="6666" max="6671" width="8.66129032258065" style="41"/>
    <col min="6672" max="6672" width="55.5564516129032" style="41" customWidth="1"/>
    <col min="6673" max="6911" width="8.66129032258065" style="41"/>
    <col min="6912" max="6912" width="11.2258064516129" style="41" customWidth="1"/>
    <col min="6913" max="6913" width="30.5564516129032" style="41" customWidth="1"/>
    <col min="6914" max="6914" width="45.4354838709677" style="41" customWidth="1"/>
    <col min="6915" max="6915" width="10.2258064516129" style="41" customWidth="1"/>
    <col min="6916" max="6916" width="7.2258064516129" style="41" customWidth="1"/>
    <col min="6917" max="6917" width="11.2258064516129" style="41" customWidth="1"/>
    <col min="6918" max="6918" width="13.5564516129032" style="41" customWidth="1"/>
    <col min="6919" max="6919" width="24.7741935483871" style="41" customWidth="1"/>
    <col min="6920" max="6920" width="32.5564516129032" style="41" customWidth="1"/>
    <col min="6921" max="6921" width="15.2258064516129" style="41" customWidth="1"/>
    <col min="6922" max="6927" width="8.66129032258065" style="41"/>
    <col min="6928" max="6928" width="55.5564516129032" style="41" customWidth="1"/>
    <col min="6929" max="7167" width="8.66129032258065" style="41"/>
    <col min="7168" max="7168" width="11.2258064516129" style="41" customWidth="1"/>
    <col min="7169" max="7169" width="30.5564516129032" style="41" customWidth="1"/>
    <col min="7170" max="7170" width="45.4354838709677" style="41" customWidth="1"/>
    <col min="7171" max="7171" width="10.2258064516129" style="41" customWidth="1"/>
    <col min="7172" max="7172" width="7.2258064516129" style="41" customWidth="1"/>
    <col min="7173" max="7173" width="11.2258064516129" style="41" customWidth="1"/>
    <col min="7174" max="7174" width="13.5564516129032" style="41" customWidth="1"/>
    <col min="7175" max="7175" width="24.7741935483871" style="41" customWidth="1"/>
    <col min="7176" max="7176" width="32.5564516129032" style="41" customWidth="1"/>
    <col min="7177" max="7177" width="15.2258064516129" style="41" customWidth="1"/>
    <col min="7178" max="7183" width="8.66129032258065" style="41"/>
    <col min="7184" max="7184" width="55.5564516129032" style="41" customWidth="1"/>
    <col min="7185" max="7423" width="8.66129032258065" style="41"/>
    <col min="7424" max="7424" width="11.2258064516129" style="41" customWidth="1"/>
    <col min="7425" max="7425" width="30.5564516129032" style="41" customWidth="1"/>
    <col min="7426" max="7426" width="45.4354838709677" style="41" customWidth="1"/>
    <col min="7427" max="7427" width="10.2258064516129" style="41" customWidth="1"/>
    <col min="7428" max="7428" width="7.2258064516129" style="41" customWidth="1"/>
    <col min="7429" max="7429" width="11.2258064516129" style="41" customWidth="1"/>
    <col min="7430" max="7430" width="13.5564516129032" style="41" customWidth="1"/>
    <col min="7431" max="7431" width="24.7741935483871" style="41" customWidth="1"/>
    <col min="7432" max="7432" width="32.5564516129032" style="41" customWidth="1"/>
    <col min="7433" max="7433" width="15.2258064516129" style="41" customWidth="1"/>
    <col min="7434" max="7439" width="8.66129032258065" style="41"/>
    <col min="7440" max="7440" width="55.5564516129032" style="41" customWidth="1"/>
    <col min="7441" max="7679" width="8.66129032258065" style="41"/>
    <col min="7680" max="7680" width="11.2258064516129" style="41" customWidth="1"/>
    <col min="7681" max="7681" width="30.5564516129032" style="41" customWidth="1"/>
    <col min="7682" max="7682" width="45.4354838709677" style="41" customWidth="1"/>
    <col min="7683" max="7683" width="10.2258064516129" style="41" customWidth="1"/>
    <col min="7684" max="7684" width="7.2258064516129" style="41" customWidth="1"/>
    <col min="7685" max="7685" width="11.2258064516129" style="41" customWidth="1"/>
    <col min="7686" max="7686" width="13.5564516129032" style="41" customWidth="1"/>
    <col min="7687" max="7687" width="24.7741935483871" style="41" customWidth="1"/>
    <col min="7688" max="7688" width="32.5564516129032" style="41" customWidth="1"/>
    <col min="7689" max="7689" width="15.2258064516129" style="41" customWidth="1"/>
    <col min="7690" max="7695" width="8.66129032258065" style="41"/>
    <col min="7696" max="7696" width="55.5564516129032" style="41" customWidth="1"/>
    <col min="7697" max="7935" width="8.66129032258065" style="41"/>
    <col min="7936" max="7936" width="11.2258064516129" style="41" customWidth="1"/>
    <col min="7937" max="7937" width="30.5564516129032" style="41" customWidth="1"/>
    <col min="7938" max="7938" width="45.4354838709677" style="41" customWidth="1"/>
    <col min="7939" max="7939" width="10.2258064516129" style="41" customWidth="1"/>
    <col min="7940" max="7940" width="7.2258064516129" style="41" customWidth="1"/>
    <col min="7941" max="7941" width="11.2258064516129" style="41" customWidth="1"/>
    <col min="7942" max="7942" width="13.5564516129032" style="41" customWidth="1"/>
    <col min="7943" max="7943" width="24.7741935483871" style="41" customWidth="1"/>
    <col min="7944" max="7944" width="32.5564516129032" style="41" customWidth="1"/>
    <col min="7945" max="7945" width="15.2258064516129" style="41" customWidth="1"/>
    <col min="7946" max="7951" width="8.66129032258065" style="41"/>
    <col min="7952" max="7952" width="55.5564516129032" style="41" customWidth="1"/>
    <col min="7953" max="8191" width="8.66129032258065" style="41"/>
    <col min="8192" max="8192" width="11.2258064516129" style="41" customWidth="1"/>
    <col min="8193" max="8193" width="30.5564516129032" style="41" customWidth="1"/>
    <col min="8194" max="8194" width="45.4354838709677" style="41" customWidth="1"/>
    <col min="8195" max="8195" width="10.2258064516129" style="41" customWidth="1"/>
    <col min="8196" max="8196" width="7.2258064516129" style="41" customWidth="1"/>
    <col min="8197" max="8197" width="11.2258064516129" style="41" customWidth="1"/>
    <col min="8198" max="8198" width="13.5564516129032" style="41" customWidth="1"/>
    <col min="8199" max="8199" width="24.7741935483871" style="41" customWidth="1"/>
    <col min="8200" max="8200" width="32.5564516129032" style="41" customWidth="1"/>
    <col min="8201" max="8201" width="15.2258064516129" style="41" customWidth="1"/>
    <col min="8202" max="8207" width="8.66129032258065" style="41"/>
    <col min="8208" max="8208" width="55.5564516129032" style="41" customWidth="1"/>
    <col min="8209" max="8447" width="8.66129032258065" style="41"/>
    <col min="8448" max="8448" width="11.2258064516129" style="41" customWidth="1"/>
    <col min="8449" max="8449" width="30.5564516129032" style="41" customWidth="1"/>
    <col min="8450" max="8450" width="45.4354838709677" style="41" customWidth="1"/>
    <col min="8451" max="8451" width="10.2258064516129" style="41" customWidth="1"/>
    <col min="8452" max="8452" width="7.2258064516129" style="41" customWidth="1"/>
    <col min="8453" max="8453" width="11.2258064516129" style="41" customWidth="1"/>
    <col min="8454" max="8454" width="13.5564516129032" style="41" customWidth="1"/>
    <col min="8455" max="8455" width="24.7741935483871" style="41" customWidth="1"/>
    <col min="8456" max="8456" width="32.5564516129032" style="41" customWidth="1"/>
    <col min="8457" max="8457" width="15.2258064516129" style="41" customWidth="1"/>
    <col min="8458" max="8463" width="8.66129032258065" style="41"/>
    <col min="8464" max="8464" width="55.5564516129032" style="41" customWidth="1"/>
    <col min="8465" max="8703" width="8.66129032258065" style="41"/>
    <col min="8704" max="8704" width="11.2258064516129" style="41" customWidth="1"/>
    <col min="8705" max="8705" width="30.5564516129032" style="41" customWidth="1"/>
    <col min="8706" max="8706" width="45.4354838709677" style="41" customWidth="1"/>
    <col min="8707" max="8707" width="10.2258064516129" style="41" customWidth="1"/>
    <col min="8708" max="8708" width="7.2258064516129" style="41" customWidth="1"/>
    <col min="8709" max="8709" width="11.2258064516129" style="41" customWidth="1"/>
    <col min="8710" max="8710" width="13.5564516129032" style="41" customWidth="1"/>
    <col min="8711" max="8711" width="24.7741935483871" style="41" customWidth="1"/>
    <col min="8712" max="8712" width="32.5564516129032" style="41" customWidth="1"/>
    <col min="8713" max="8713" width="15.2258064516129" style="41" customWidth="1"/>
    <col min="8714" max="8719" width="8.66129032258065" style="41"/>
    <col min="8720" max="8720" width="55.5564516129032" style="41" customWidth="1"/>
    <col min="8721" max="8959" width="8.66129032258065" style="41"/>
    <col min="8960" max="8960" width="11.2258064516129" style="41" customWidth="1"/>
    <col min="8961" max="8961" width="30.5564516129032" style="41" customWidth="1"/>
    <col min="8962" max="8962" width="45.4354838709677" style="41" customWidth="1"/>
    <col min="8963" max="8963" width="10.2258064516129" style="41" customWidth="1"/>
    <col min="8964" max="8964" width="7.2258064516129" style="41" customWidth="1"/>
    <col min="8965" max="8965" width="11.2258064516129" style="41" customWidth="1"/>
    <col min="8966" max="8966" width="13.5564516129032" style="41" customWidth="1"/>
    <col min="8967" max="8967" width="24.7741935483871" style="41" customWidth="1"/>
    <col min="8968" max="8968" width="32.5564516129032" style="41" customWidth="1"/>
    <col min="8969" max="8969" width="15.2258064516129" style="41" customWidth="1"/>
    <col min="8970" max="8975" width="8.66129032258065" style="41"/>
    <col min="8976" max="8976" width="55.5564516129032" style="41" customWidth="1"/>
    <col min="8977" max="9215" width="8.66129032258065" style="41"/>
    <col min="9216" max="9216" width="11.2258064516129" style="41" customWidth="1"/>
    <col min="9217" max="9217" width="30.5564516129032" style="41" customWidth="1"/>
    <col min="9218" max="9218" width="45.4354838709677" style="41" customWidth="1"/>
    <col min="9219" max="9219" width="10.2258064516129" style="41" customWidth="1"/>
    <col min="9220" max="9220" width="7.2258064516129" style="41" customWidth="1"/>
    <col min="9221" max="9221" width="11.2258064516129" style="41" customWidth="1"/>
    <col min="9222" max="9222" width="13.5564516129032" style="41" customWidth="1"/>
    <col min="9223" max="9223" width="24.7741935483871" style="41" customWidth="1"/>
    <col min="9224" max="9224" width="32.5564516129032" style="41" customWidth="1"/>
    <col min="9225" max="9225" width="15.2258064516129" style="41" customWidth="1"/>
    <col min="9226" max="9231" width="8.66129032258065" style="41"/>
    <col min="9232" max="9232" width="55.5564516129032" style="41" customWidth="1"/>
    <col min="9233" max="9471" width="8.66129032258065" style="41"/>
    <col min="9472" max="9472" width="11.2258064516129" style="41" customWidth="1"/>
    <col min="9473" max="9473" width="30.5564516129032" style="41" customWidth="1"/>
    <col min="9474" max="9474" width="45.4354838709677" style="41" customWidth="1"/>
    <col min="9475" max="9475" width="10.2258064516129" style="41" customWidth="1"/>
    <col min="9476" max="9476" width="7.2258064516129" style="41" customWidth="1"/>
    <col min="9477" max="9477" width="11.2258064516129" style="41" customWidth="1"/>
    <col min="9478" max="9478" width="13.5564516129032" style="41" customWidth="1"/>
    <col min="9479" max="9479" width="24.7741935483871" style="41" customWidth="1"/>
    <col min="9480" max="9480" width="32.5564516129032" style="41" customWidth="1"/>
    <col min="9481" max="9481" width="15.2258064516129" style="41" customWidth="1"/>
    <col min="9482" max="9487" width="8.66129032258065" style="41"/>
    <col min="9488" max="9488" width="55.5564516129032" style="41" customWidth="1"/>
    <col min="9489" max="9727" width="8.66129032258065" style="41"/>
    <col min="9728" max="9728" width="11.2258064516129" style="41" customWidth="1"/>
    <col min="9729" max="9729" width="30.5564516129032" style="41" customWidth="1"/>
    <col min="9730" max="9730" width="45.4354838709677" style="41" customWidth="1"/>
    <col min="9731" max="9731" width="10.2258064516129" style="41" customWidth="1"/>
    <col min="9732" max="9732" width="7.2258064516129" style="41" customWidth="1"/>
    <col min="9733" max="9733" width="11.2258064516129" style="41" customWidth="1"/>
    <col min="9734" max="9734" width="13.5564516129032" style="41" customWidth="1"/>
    <col min="9735" max="9735" width="24.7741935483871" style="41" customWidth="1"/>
    <col min="9736" max="9736" width="32.5564516129032" style="41" customWidth="1"/>
    <col min="9737" max="9737" width="15.2258064516129" style="41" customWidth="1"/>
    <col min="9738" max="9743" width="8.66129032258065" style="41"/>
    <col min="9744" max="9744" width="55.5564516129032" style="41" customWidth="1"/>
    <col min="9745" max="9983" width="8.66129032258065" style="41"/>
    <col min="9984" max="9984" width="11.2258064516129" style="41" customWidth="1"/>
    <col min="9985" max="9985" width="30.5564516129032" style="41" customWidth="1"/>
    <col min="9986" max="9986" width="45.4354838709677" style="41" customWidth="1"/>
    <col min="9987" max="9987" width="10.2258064516129" style="41" customWidth="1"/>
    <col min="9988" max="9988" width="7.2258064516129" style="41" customWidth="1"/>
    <col min="9989" max="9989" width="11.2258064516129" style="41" customWidth="1"/>
    <col min="9990" max="9990" width="13.5564516129032" style="41" customWidth="1"/>
    <col min="9991" max="9991" width="24.7741935483871" style="41" customWidth="1"/>
    <col min="9992" max="9992" width="32.5564516129032" style="41" customWidth="1"/>
    <col min="9993" max="9993" width="15.2258064516129" style="41" customWidth="1"/>
    <col min="9994" max="9999" width="8.66129032258065" style="41"/>
    <col min="10000" max="10000" width="55.5564516129032" style="41" customWidth="1"/>
    <col min="10001" max="10239" width="8.66129032258065" style="41"/>
    <col min="10240" max="10240" width="11.2258064516129" style="41" customWidth="1"/>
    <col min="10241" max="10241" width="30.5564516129032" style="41" customWidth="1"/>
    <col min="10242" max="10242" width="45.4354838709677" style="41" customWidth="1"/>
    <col min="10243" max="10243" width="10.2258064516129" style="41" customWidth="1"/>
    <col min="10244" max="10244" width="7.2258064516129" style="41" customWidth="1"/>
    <col min="10245" max="10245" width="11.2258064516129" style="41" customWidth="1"/>
    <col min="10246" max="10246" width="13.5564516129032" style="41" customWidth="1"/>
    <col min="10247" max="10247" width="24.7741935483871" style="41" customWidth="1"/>
    <col min="10248" max="10248" width="32.5564516129032" style="41" customWidth="1"/>
    <col min="10249" max="10249" width="15.2258064516129" style="41" customWidth="1"/>
    <col min="10250" max="10255" width="8.66129032258065" style="41"/>
    <col min="10256" max="10256" width="55.5564516129032" style="41" customWidth="1"/>
    <col min="10257" max="10495" width="8.66129032258065" style="41"/>
    <col min="10496" max="10496" width="11.2258064516129" style="41" customWidth="1"/>
    <col min="10497" max="10497" width="30.5564516129032" style="41" customWidth="1"/>
    <col min="10498" max="10498" width="45.4354838709677" style="41" customWidth="1"/>
    <col min="10499" max="10499" width="10.2258064516129" style="41" customWidth="1"/>
    <col min="10500" max="10500" width="7.2258064516129" style="41" customWidth="1"/>
    <col min="10501" max="10501" width="11.2258064516129" style="41" customWidth="1"/>
    <col min="10502" max="10502" width="13.5564516129032" style="41" customWidth="1"/>
    <col min="10503" max="10503" width="24.7741935483871" style="41" customWidth="1"/>
    <col min="10504" max="10504" width="32.5564516129032" style="41" customWidth="1"/>
    <col min="10505" max="10505" width="15.2258064516129" style="41" customWidth="1"/>
    <col min="10506" max="10511" width="8.66129032258065" style="41"/>
    <col min="10512" max="10512" width="55.5564516129032" style="41" customWidth="1"/>
    <col min="10513" max="10751" width="8.66129032258065" style="41"/>
    <col min="10752" max="10752" width="11.2258064516129" style="41" customWidth="1"/>
    <col min="10753" max="10753" width="30.5564516129032" style="41" customWidth="1"/>
    <col min="10754" max="10754" width="45.4354838709677" style="41" customWidth="1"/>
    <col min="10755" max="10755" width="10.2258064516129" style="41" customWidth="1"/>
    <col min="10756" max="10756" width="7.2258064516129" style="41" customWidth="1"/>
    <col min="10757" max="10757" width="11.2258064516129" style="41" customWidth="1"/>
    <col min="10758" max="10758" width="13.5564516129032" style="41" customWidth="1"/>
    <col min="10759" max="10759" width="24.7741935483871" style="41" customWidth="1"/>
    <col min="10760" max="10760" width="32.5564516129032" style="41" customWidth="1"/>
    <col min="10761" max="10761" width="15.2258064516129" style="41" customWidth="1"/>
    <col min="10762" max="10767" width="8.66129032258065" style="41"/>
    <col min="10768" max="10768" width="55.5564516129032" style="41" customWidth="1"/>
    <col min="10769" max="11007" width="8.66129032258065" style="41"/>
    <col min="11008" max="11008" width="11.2258064516129" style="41" customWidth="1"/>
    <col min="11009" max="11009" width="30.5564516129032" style="41" customWidth="1"/>
    <col min="11010" max="11010" width="45.4354838709677" style="41" customWidth="1"/>
    <col min="11011" max="11011" width="10.2258064516129" style="41" customWidth="1"/>
    <col min="11012" max="11012" width="7.2258064516129" style="41" customWidth="1"/>
    <col min="11013" max="11013" width="11.2258064516129" style="41" customWidth="1"/>
    <col min="11014" max="11014" width="13.5564516129032" style="41" customWidth="1"/>
    <col min="11015" max="11015" width="24.7741935483871" style="41" customWidth="1"/>
    <col min="11016" max="11016" width="32.5564516129032" style="41" customWidth="1"/>
    <col min="11017" max="11017" width="15.2258064516129" style="41" customWidth="1"/>
    <col min="11018" max="11023" width="8.66129032258065" style="41"/>
    <col min="11024" max="11024" width="55.5564516129032" style="41" customWidth="1"/>
    <col min="11025" max="11263" width="8.66129032258065" style="41"/>
    <col min="11264" max="11264" width="11.2258064516129" style="41" customWidth="1"/>
    <col min="11265" max="11265" width="30.5564516129032" style="41" customWidth="1"/>
    <col min="11266" max="11266" width="45.4354838709677" style="41" customWidth="1"/>
    <col min="11267" max="11267" width="10.2258064516129" style="41" customWidth="1"/>
    <col min="11268" max="11268" width="7.2258064516129" style="41" customWidth="1"/>
    <col min="11269" max="11269" width="11.2258064516129" style="41" customWidth="1"/>
    <col min="11270" max="11270" width="13.5564516129032" style="41" customWidth="1"/>
    <col min="11271" max="11271" width="24.7741935483871" style="41" customWidth="1"/>
    <col min="11272" max="11272" width="32.5564516129032" style="41" customWidth="1"/>
    <col min="11273" max="11273" width="15.2258064516129" style="41" customWidth="1"/>
    <col min="11274" max="11279" width="8.66129032258065" style="41"/>
    <col min="11280" max="11280" width="55.5564516129032" style="41" customWidth="1"/>
    <col min="11281" max="11519" width="8.66129032258065" style="41"/>
    <col min="11520" max="11520" width="11.2258064516129" style="41" customWidth="1"/>
    <col min="11521" max="11521" width="30.5564516129032" style="41" customWidth="1"/>
    <col min="11522" max="11522" width="45.4354838709677" style="41" customWidth="1"/>
    <col min="11523" max="11523" width="10.2258064516129" style="41" customWidth="1"/>
    <col min="11524" max="11524" width="7.2258064516129" style="41" customWidth="1"/>
    <col min="11525" max="11525" width="11.2258064516129" style="41" customWidth="1"/>
    <col min="11526" max="11526" width="13.5564516129032" style="41" customWidth="1"/>
    <col min="11527" max="11527" width="24.7741935483871" style="41" customWidth="1"/>
    <col min="11528" max="11528" width="32.5564516129032" style="41" customWidth="1"/>
    <col min="11529" max="11529" width="15.2258064516129" style="41" customWidth="1"/>
    <col min="11530" max="11535" width="8.66129032258065" style="41"/>
    <col min="11536" max="11536" width="55.5564516129032" style="41" customWidth="1"/>
    <col min="11537" max="11775" width="8.66129032258065" style="41"/>
    <col min="11776" max="11776" width="11.2258064516129" style="41" customWidth="1"/>
    <col min="11777" max="11777" width="30.5564516129032" style="41" customWidth="1"/>
    <col min="11778" max="11778" width="45.4354838709677" style="41" customWidth="1"/>
    <col min="11779" max="11779" width="10.2258064516129" style="41" customWidth="1"/>
    <col min="11780" max="11780" width="7.2258064516129" style="41" customWidth="1"/>
    <col min="11781" max="11781" width="11.2258064516129" style="41" customWidth="1"/>
    <col min="11782" max="11782" width="13.5564516129032" style="41" customWidth="1"/>
    <col min="11783" max="11783" width="24.7741935483871" style="41" customWidth="1"/>
    <col min="11784" max="11784" width="32.5564516129032" style="41" customWidth="1"/>
    <col min="11785" max="11785" width="15.2258064516129" style="41" customWidth="1"/>
    <col min="11786" max="11791" width="8.66129032258065" style="41"/>
    <col min="11792" max="11792" width="55.5564516129032" style="41" customWidth="1"/>
    <col min="11793" max="12031" width="8.66129032258065" style="41"/>
    <col min="12032" max="12032" width="11.2258064516129" style="41" customWidth="1"/>
    <col min="12033" max="12033" width="30.5564516129032" style="41" customWidth="1"/>
    <col min="12034" max="12034" width="45.4354838709677" style="41" customWidth="1"/>
    <col min="12035" max="12035" width="10.2258064516129" style="41" customWidth="1"/>
    <col min="12036" max="12036" width="7.2258064516129" style="41" customWidth="1"/>
    <col min="12037" max="12037" width="11.2258064516129" style="41" customWidth="1"/>
    <col min="12038" max="12038" width="13.5564516129032" style="41" customWidth="1"/>
    <col min="12039" max="12039" width="24.7741935483871" style="41" customWidth="1"/>
    <col min="12040" max="12040" width="32.5564516129032" style="41" customWidth="1"/>
    <col min="12041" max="12041" width="15.2258064516129" style="41" customWidth="1"/>
    <col min="12042" max="12047" width="8.66129032258065" style="41"/>
    <col min="12048" max="12048" width="55.5564516129032" style="41" customWidth="1"/>
    <col min="12049" max="12287" width="8.66129032258065" style="41"/>
    <col min="12288" max="12288" width="11.2258064516129" style="41" customWidth="1"/>
    <col min="12289" max="12289" width="30.5564516129032" style="41" customWidth="1"/>
    <col min="12290" max="12290" width="45.4354838709677" style="41" customWidth="1"/>
    <col min="12291" max="12291" width="10.2258064516129" style="41" customWidth="1"/>
    <col min="12292" max="12292" width="7.2258064516129" style="41" customWidth="1"/>
    <col min="12293" max="12293" width="11.2258064516129" style="41" customWidth="1"/>
    <col min="12294" max="12294" width="13.5564516129032" style="41" customWidth="1"/>
    <col min="12295" max="12295" width="24.7741935483871" style="41" customWidth="1"/>
    <col min="12296" max="12296" width="32.5564516129032" style="41" customWidth="1"/>
    <col min="12297" max="12297" width="15.2258064516129" style="41" customWidth="1"/>
    <col min="12298" max="12303" width="8.66129032258065" style="41"/>
    <col min="12304" max="12304" width="55.5564516129032" style="41" customWidth="1"/>
    <col min="12305" max="12543" width="8.66129032258065" style="41"/>
    <col min="12544" max="12544" width="11.2258064516129" style="41" customWidth="1"/>
    <col min="12545" max="12545" width="30.5564516129032" style="41" customWidth="1"/>
    <col min="12546" max="12546" width="45.4354838709677" style="41" customWidth="1"/>
    <col min="12547" max="12547" width="10.2258064516129" style="41" customWidth="1"/>
    <col min="12548" max="12548" width="7.2258064516129" style="41" customWidth="1"/>
    <col min="12549" max="12549" width="11.2258064516129" style="41" customWidth="1"/>
    <col min="12550" max="12550" width="13.5564516129032" style="41" customWidth="1"/>
    <col min="12551" max="12551" width="24.7741935483871" style="41" customWidth="1"/>
    <col min="12552" max="12552" width="32.5564516129032" style="41" customWidth="1"/>
    <col min="12553" max="12553" width="15.2258064516129" style="41" customWidth="1"/>
    <col min="12554" max="12559" width="8.66129032258065" style="41"/>
    <col min="12560" max="12560" width="55.5564516129032" style="41" customWidth="1"/>
    <col min="12561" max="12799" width="8.66129032258065" style="41"/>
    <col min="12800" max="12800" width="11.2258064516129" style="41" customWidth="1"/>
    <col min="12801" max="12801" width="30.5564516129032" style="41" customWidth="1"/>
    <col min="12802" max="12802" width="45.4354838709677" style="41" customWidth="1"/>
    <col min="12803" max="12803" width="10.2258064516129" style="41" customWidth="1"/>
    <col min="12804" max="12804" width="7.2258064516129" style="41" customWidth="1"/>
    <col min="12805" max="12805" width="11.2258064516129" style="41" customWidth="1"/>
    <col min="12806" max="12806" width="13.5564516129032" style="41" customWidth="1"/>
    <col min="12807" max="12807" width="24.7741935483871" style="41" customWidth="1"/>
    <col min="12808" max="12808" width="32.5564516129032" style="41" customWidth="1"/>
    <col min="12809" max="12809" width="15.2258064516129" style="41" customWidth="1"/>
    <col min="12810" max="12815" width="8.66129032258065" style="41"/>
    <col min="12816" max="12816" width="55.5564516129032" style="41" customWidth="1"/>
    <col min="12817" max="13055" width="8.66129032258065" style="41"/>
    <col min="13056" max="13056" width="11.2258064516129" style="41" customWidth="1"/>
    <col min="13057" max="13057" width="30.5564516129032" style="41" customWidth="1"/>
    <col min="13058" max="13058" width="45.4354838709677" style="41" customWidth="1"/>
    <col min="13059" max="13059" width="10.2258064516129" style="41" customWidth="1"/>
    <col min="13060" max="13060" width="7.2258064516129" style="41" customWidth="1"/>
    <col min="13061" max="13061" width="11.2258064516129" style="41" customWidth="1"/>
    <col min="13062" max="13062" width="13.5564516129032" style="41" customWidth="1"/>
    <col min="13063" max="13063" width="24.7741935483871" style="41" customWidth="1"/>
    <col min="13064" max="13064" width="32.5564516129032" style="41" customWidth="1"/>
    <col min="13065" max="13065" width="15.2258064516129" style="41" customWidth="1"/>
    <col min="13066" max="13071" width="8.66129032258065" style="41"/>
    <col min="13072" max="13072" width="55.5564516129032" style="41" customWidth="1"/>
    <col min="13073" max="13311" width="8.66129032258065" style="41"/>
    <col min="13312" max="13312" width="11.2258064516129" style="41" customWidth="1"/>
    <col min="13313" max="13313" width="30.5564516129032" style="41" customWidth="1"/>
    <col min="13314" max="13314" width="45.4354838709677" style="41" customWidth="1"/>
    <col min="13315" max="13315" width="10.2258064516129" style="41" customWidth="1"/>
    <col min="13316" max="13316" width="7.2258064516129" style="41" customWidth="1"/>
    <col min="13317" max="13317" width="11.2258064516129" style="41" customWidth="1"/>
    <col min="13318" max="13318" width="13.5564516129032" style="41" customWidth="1"/>
    <col min="13319" max="13319" width="24.7741935483871" style="41" customWidth="1"/>
    <col min="13320" max="13320" width="32.5564516129032" style="41" customWidth="1"/>
    <col min="13321" max="13321" width="15.2258064516129" style="41" customWidth="1"/>
    <col min="13322" max="13327" width="8.66129032258065" style="41"/>
    <col min="13328" max="13328" width="55.5564516129032" style="41" customWidth="1"/>
    <col min="13329" max="13567" width="8.66129032258065" style="41"/>
    <col min="13568" max="13568" width="11.2258064516129" style="41" customWidth="1"/>
    <col min="13569" max="13569" width="30.5564516129032" style="41" customWidth="1"/>
    <col min="13570" max="13570" width="45.4354838709677" style="41" customWidth="1"/>
    <col min="13571" max="13571" width="10.2258064516129" style="41" customWidth="1"/>
    <col min="13572" max="13572" width="7.2258064516129" style="41" customWidth="1"/>
    <col min="13573" max="13573" width="11.2258064516129" style="41" customWidth="1"/>
    <col min="13574" max="13574" width="13.5564516129032" style="41" customWidth="1"/>
    <col min="13575" max="13575" width="24.7741935483871" style="41" customWidth="1"/>
    <col min="13576" max="13576" width="32.5564516129032" style="41" customWidth="1"/>
    <col min="13577" max="13577" width="15.2258064516129" style="41" customWidth="1"/>
    <col min="13578" max="13583" width="8.66129032258065" style="41"/>
    <col min="13584" max="13584" width="55.5564516129032" style="41" customWidth="1"/>
    <col min="13585" max="13823" width="8.66129032258065" style="41"/>
    <col min="13824" max="13824" width="11.2258064516129" style="41" customWidth="1"/>
    <col min="13825" max="13825" width="30.5564516129032" style="41" customWidth="1"/>
    <col min="13826" max="13826" width="45.4354838709677" style="41" customWidth="1"/>
    <col min="13827" max="13827" width="10.2258064516129" style="41" customWidth="1"/>
    <col min="13828" max="13828" width="7.2258064516129" style="41" customWidth="1"/>
    <col min="13829" max="13829" width="11.2258064516129" style="41" customWidth="1"/>
    <col min="13830" max="13830" width="13.5564516129032" style="41" customWidth="1"/>
    <col min="13831" max="13831" width="24.7741935483871" style="41" customWidth="1"/>
    <col min="13832" max="13832" width="32.5564516129032" style="41" customWidth="1"/>
    <col min="13833" max="13833" width="15.2258064516129" style="41" customWidth="1"/>
    <col min="13834" max="13839" width="8.66129032258065" style="41"/>
    <col min="13840" max="13840" width="55.5564516129032" style="41" customWidth="1"/>
    <col min="13841" max="14079" width="8.66129032258065" style="41"/>
    <col min="14080" max="14080" width="11.2258064516129" style="41" customWidth="1"/>
    <col min="14081" max="14081" width="30.5564516129032" style="41" customWidth="1"/>
    <col min="14082" max="14082" width="45.4354838709677" style="41" customWidth="1"/>
    <col min="14083" max="14083" width="10.2258064516129" style="41" customWidth="1"/>
    <col min="14084" max="14084" width="7.2258064516129" style="41" customWidth="1"/>
    <col min="14085" max="14085" width="11.2258064516129" style="41" customWidth="1"/>
    <col min="14086" max="14086" width="13.5564516129032" style="41" customWidth="1"/>
    <col min="14087" max="14087" width="24.7741935483871" style="41" customWidth="1"/>
    <col min="14088" max="14088" width="32.5564516129032" style="41" customWidth="1"/>
    <col min="14089" max="14089" width="15.2258064516129" style="41" customWidth="1"/>
    <col min="14090" max="14095" width="8.66129032258065" style="41"/>
    <col min="14096" max="14096" width="55.5564516129032" style="41" customWidth="1"/>
    <col min="14097" max="14335" width="8.66129032258065" style="41"/>
    <col min="14336" max="14336" width="11.2258064516129" style="41" customWidth="1"/>
    <col min="14337" max="14337" width="30.5564516129032" style="41" customWidth="1"/>
    <col min="14338" max="14338" width="45.4354838709677" style="41" customWidth="1"/>
    <col min="14339" max="14339" width="10.2258064516129" style="41" customWidth="1"/>
    <col min="14340" max="14340" width="7.2258064516129" style="41" customWidth="1"/>
    <col min="14341" max="14341" width="11.2258064516129" style="41" customWidth="1"/>
    <col min="14342" max="14342" width="13.5564516129032" style="41" customWidth="1"/>
    <col min="14343" max="14343" width="24.7741935483871" style="41" customWidth="1"/>
    <col min="14344" max="14344" width="32.5564516129032" style="41" customWidth="1"/>
    <col min="14345" max="14345" width="15.2258064516129" style="41" customWidth="1"/>
    <col min="14346" max="14351" width="8.66129032258065" style="41"/>
    <col min="14352" max="14352" width="55.5564516129032" style="41" customWidth="1"/>
    <col min="14353" max="14591" width="8.66129032258065" style="41"/>
    <col min="14592" max="14592" width="11.2258064516129" style="41" customWidth="1"/>
    <col min="14593" max="14593" width="30.5564516129032" style="41" customWidth="1"/>
    <col min="14594" max="14594" width="45.4354838709677" style="41" customWidth="1"/>
    <col min="14595" max="14595" width="10.2258064516129" style="41" customWidth="1"/>
    <col min="14596" max="14596" width="7.2258064516129" style="41" customWidth="1"/>
    <col min="14597" max="14597" width="11.2258064516129" style="41" customWidth="1"/>
    <col min="14598" max="14598" width="13.5564516129032" style="41" customWidth="1"/>
    <col min="14599" max="14599" width="24.7741935483871" style="41" customWidth="1"/>
    <col min="14600" max="14600" width="32.5564516129032" style="41" customWidth="1"/>
    <col min="14601" max="14601" width="15.2258064516129" style="41" customWidth="1"/>
    <col min="14602" max="14607" width="8.66129032258065" style="41"/>
    <col min="14608" max="14608" width="55.5564516129032" style="41" customWidth="1"/>
    <col min="14609" max="14847" width="8.66129032258065" style="41"/>
    <col min="14848" max="14848" width="11.2258064516129" style="41" customWidth="1"/>
    <col min="14849" max="14849" width="30.5564516129032" style="41" customWidth="1"/>
    <col min="14850" max="14850" width="45.4354838709677" style="41" customWidth="1"/>
    <col min="14851" max="14851" width="10.2258064516129" style="41" customWidth="1"/>
    <col min="14852" max="14852" width="7.2258064516129" style="41" customWidth="1"/>
    <col min="14853" max="14853" width="11.2258064516129" style="41" customWidth="1"/>
    <col min="14854" max="14854" width="13.5564516129032" style="41" customWidth="1"/>
    <col min="14855" max="14855" width="24.7741935483871" style="41" customWidth="1"/>
    <col min="14856" max="14856" width="32.5564516129032" style="41" customWidth="1"/>
    <col min="14857" max="14857" width="15.2258064516129" style="41" customWidth="1"/>
    <col min="14858" max="14863" width="8.66129032258065" style="41"/>
    <col min="14864" max="14864" width="55.5564516129032" style="41" customWidth="1"/>
    <col min="14865" max="15103" width="8.66129032258065" style="41"/>
    <col min="15104" max="15104" width="11.2258064516129" style="41" customWidth="1"/>
    <col min="15105" max="15105" width="30.5564516129032" style="41" customWidth="1"/>
    <col min="15106" max="15106" width="45.4354838709677" style="41" customWidth="1"/>
    <col min="15107" max="15107" width="10.2258064516129" style="41" customWidth="1"/>
    <col min="15108" max="15108" width="7.2258064516129" style="41" customWidth="1"/>
    <col min="15109" max="15109" width="11.2258064516129" style="41" customWidth="1"/>
    <col min="15110" max="15110" width="13.5564516129032" style="41" customWidth="1"/>
    <col min="15111" max="15111" width="24.7741935483871" style="41" customWidth="1"/>
    <col min="15112" max="15112" width="32.5564516129032" style="41" customWidth="1"/>
    <col min="15113" max="15113" width="15.2258064516129" style="41" customWidth="1"/>
    <col min="15114" max="15119" width="8.66129032258065" style="41"/>
    <col min="15120" max="15120" width="55.5564516129032" style="41" customWidth="1"/>
    <col min="15121" max="15359" width="8.66129032258065" style="41"/>
    <col min="15360" max="15360" width="11.2258064516129" style="41" customWidth="1"/>
    <col min="15361" max="15361" width="30.5564516129032" style="41" customWidth="1"/>
    <col min="15362" max="15362" width="45.4354838709677" style="41" customWidth="1"/>
    <col min="15363" max="15363" width="10.2258064516129" style="41" customWidth="1"/>
    <col min="15364" max="15364" width="7.2258064516129" style="41" customWidth="1"/>
    <col min="15365" max="15365" width="11.2258064516129" style="41" customWidth="1"/>
    <col min="15366" max="15366" width="13.5564516129032" style="41" customWidth="1"/>
    <col min="15367" max="15367" width="24.7741935483871" style="41" customWidth="1"/>
    <col min="15368" max="15368" width="32.5564516129032" style="41" customWidth="1"/>
    <col min="15369" max="15369" width="15.2258064516129" style="41" customWidth="1"/>
    <col min="15370" max="15375" width="8.66129032258065" style="41"/>
    <col min="15376" max="15376" width="55.5564516129032" style="41" customWidth="1"/>
    <col min="15377" max="15615" width="8.66129032258065" style="41"/>
    <col min="15616" max="15616" width="11.2258064516129" style="41" customWidth="1"/>
    <col min="15617" max="15617" width="30.5564516129032" style="41" customWidth="1"/>
    <col min="15618" max="15618" width="45.4354838709677" style="41" customWidth="1"/>
    <col min="15619" max="15619" width="10.2258064516129" style="41" customWidth="1"/>
    <col min="15620" max="15620" width="7.2258064516129" style="41" customWidth="1"/>
    <col min="15621" max="15621" width="11.2258064516129" style="41" customWidth="1"/>
    <col min="15622" max="15622" width="13.5564516129032" style="41" customWidth="1"/>
    <col min="15623" max="15623" width="24.7741935483871" style="41" customWidth="1"/>
    <col min="15624" max="15624" width="32.5564516129032" style="41" customWidth="1"/>
    <col min="15625" max="15625" width="15.2258064516129" style="41" customWidth="1"/>
    <col min="15626" max="15631" width="8.66129032258065" style="41"/>
    <col min="15632" max="15632" width="55.5564516129032" style="41" customWidth="1"/>
    <col min="15633" max="15871" width="8.66129032258065" style="41"/>
    <col min="15872" max="15872" width="11.2258064516129" style="41" customWidth="1"/>
    <col min="15873" max="15873" width="30.5564516129032" style="41" customWidth="1"/>
    <col min="15874" max="15874" width="45.4354838709677" style="41" customWidth="1"/>
    <col min="15875" max="15875" width="10.2258064516129" style="41" customWidth="1"/>
    <col min="15876" max="15876" width="7.2258064516129" style="41" customWidth="1"/>
    <col min="15877" max="15877" width="11.2258064516129" style="41" customWidth="1"/>
    <col min="15878" max="15878" width="13.5564516129032" style="41" customWidth="1"/>
    <col min="15879" max="15879" width="24.7741935483871" style="41" customWidth="1"/>
    <col min="15880" max="15880" width="32.5564516129032" style="41" customWidth="1"/>
    <col min="15881" max="15881" width="15.2258064516129" style="41" customWidth="1"/>
    <col min="15882" max="15887" width="8.66129032258065" style="41"/>
    <col min="15888" max="15888" width="55.5564516129032" style="41" customWidth="1"/>
    <col min="15889" max="16127" width="8.66129032258065" style="41"/>
    <col min="16128" max="16128" width="11.2258064516129" style="41" customWidth="1"/>
    <col min="16129" max="16129" width="30.5564516129032" style="41" customWidth="1"/>
    <col min="16130" max="16130" width="45.4354838709677" style="41" customWidth="1"/>
    <col min="16131" max="16131" width="10.2258064516129" style="41" customWidth="1"/>
    <col min="16132" max="16132" width="7.2258064516129" style="41" customWidth="1"/>
    <col min="16133" max="16133" width="11.2258064516129" style="41" customWidth="1"/>
    <col min="16134" max="16134" width="13.5564516129032" style="41" customWidth="1"/>
    <col min="16135" max="16135" width="24.7741935483871" style="41" customWidth="1"/>
    <col min="16136" max="16136" width="32.5564516129032" style="41" customWidth="1"/>
    <col min="16137" max="16137" width="15.2258064516129" style="41" customWidth="1"/>
    <col min="16138" max="16143" width="8.66129032258065" style="41"/>
    <col min="16144" max="16144" width="55.5564516129032" style="41" customWidth="1"/>
    <col min="16145" max="16382" width="8.66129032258065" style="41"/>
    <col min="16383" max="16384" width="9" style="41"/>
  </cols>
  <sheetData>
    <row r="1" ht="79.95" customHeight="1" spans="1:8">
      <c r="A1" s="42" t="str">
        <f>'[1]    合 同    '!A1</f>
        <v>JIESONG INTERNATIONAL LOGISTICS CO., LTD
上海捷淞国际物流有限公司</v>
      </c>
      <c r="B1" s="43"/>
      <c r="C1" s="43"/>
      <c r="D1" s="43"/>
      <c r="E1" s="43"/>
      <c r="F1" s="43"/>
      <c r="G1" s="43"/>
      <c r="H1" s="43"/>
    </row>
    <row r="2" ht="56.55" customHeight="1" spans="1:8">
      <c r="A2" s="44" t="s">
        <v>45</v>
      </c>
      <c r="B2" s="45"/>
      <c r="C2" s="45"/>
      <c r="D2" s="45"/>
      <c r="E2" s="45"/>
      <c r="F2" s="45"/>
      <c r="G2" s="45"/>
      <c r="H2" s="45"/>
    </row>
    <row r="3" s="36" customFormat="1" ht="19.1" spans="1:8">
      <c r="A3" s="46"/>
      <c r="B3" s="47"/>
      <c r="C3" s="47"/>
      <c r="D3" s="47"/>
      <c r="E3" s="47"/>
      <c r="F3" s="47"/>
      <c r="G3" s="47"/>
      <c r="H3" s="66" t="str">
        <f>'    合 同    '!F3</f>
        <v>NO.: EXP260008</v>
      </c>
    </row>
    <row r="4" s="36" customFormat="1" ht="19.1" spans="1:9">
      <c r="A4" s="48"/>
      <c r="B4" s="49"/>
      <c r="C4" s="49"/>
      <c r="D4" s="49"/>
      <c r="E4" s="49"/>
      <c r="F4" s="49"/>
      <c r="G4" s="49"/>
      <c r="H4" s="67" t="str">
        <f>'发   票'!F4</f>
        <v>Date: Jun.15, 2026</v>
      </c>
      <c r="I4" s="79"/>
    </row>
    <row r="5" s="36" customFormat="1" ht="103.05" customHeight="1" spans="1:9">
      <c r="A5" s="50" t="s">
        <v>5</v>
      </c>
      <c r="B5" s="51" t="str">
        <f>'[1]    合 同    '!B5</f>
        <v>上海捷淞国际物流有限公司
JIESONG INTERNATIONAL LOGISTICS CO., LTD
C / F, 888 Huanhu West second Road, Lingang New District, China (Shanghai) Free Trade Experimental Zone / 201306</v>
      </c>
      <c r="C5" s="51"/>
      <c r="D5" s="51"/>
      <c r="E5" s="51"/>
      <c r="F5" s="51"/>
      <c r="G5" s="51"/>
      <c r="H5" s="51"/>
      <c r="I5" s="80"/>
    </row>
    <row r="6" s="36" customFormat="1" ht="111" customHeight="1" spans="1:8">
      <c r="A6" s="50" t="s">
        <v>7</v>
      </c>
      <c r="B6" s="52" t="str">
        <f>'[1]    合 同    '!B6</f>
        <v>Sp food trading LLC</v>
      </c>
      <c r="C6" s="51"/>
      <c r="D6" s="51"/>
      <c r="E6" s="51"/>
      <c r="F6" s="51"/>
      <c r="G6" s="51"/>
      <c r="H6" s="51"/>
    </row>
    <row r="7" s="36" customFormat="1" ht="67.5" customHeight="1" spans="1:8">
      <c r="A7" s="51" t="s">
        <v>9</v>
      </c>
      <c r="B7" s="53"/>
      <c r="C7" s="53"/>
      <c r="D7" s="53"/>
      <c r="E7" s="53"/>
      <c r="F7" s="53"/>
      <c r="G7" s="53"/>
      <c r="H7" s="53"/>
    </row>
    <row r="8" s="36" customFormat="1" ht="40.8" spans="1:12">
      <c r="A8" s="54" t="s">
        <v>10</v>
      </c>
      <c r="B8" s="54" t="s">
        <v>11</v>
      </c>
      <c r="C8" s="54" t="s">
        <v>46</v>
      </c>
      <c r="D8" s="54" t="s">
        <v>47</v>
      </c>
      <c r="E8" s="54" t="s">
        <v>48</v>
      </c>
      <c r="F8" s="54" t="s">
        <v>49</v>
      </c>
      <c r="G8" s="54" t="s">
        <v>50</v>
      </c>
      <c r="H8" s="54" t="s">
        <v>51</v>
      </c>
      <c r="I8" s="36" t="s">
        <v>52</v>
      </c>
      <c r="J8" s="36" t="s">
        <v>53</v>
      </c>
      <c r="K8" s="36" t="s">
        <v>54</v>
      </c>
      <c r="L8" s="36" t="s">
        <v>55</v>
      </c>
    </row>
    <row r="9" s="37" customFormat="1" ht="30" customHeight="1" spans="1:12">
      <c r="A9" s="55">
        <v>1</v>
      </c>
      <c r="B9" s="54" t="s">
        <v>16</v>
      </c>
      <c r="C9" s="56">
        <f>VLOOKUP(B9,[2]货品目录!$B:$C,2,0)</f>
        <v>8306299000</v>
      </c>
      <c r="D9" s="56" t="s">
        <v>17</v>
      </c>
      <c r="E9" s="68">
        <v>22</v>
      </c>
      <c r="F9" s="69">
        <v>1528</v>
      </c>
      <c r="G9" s="69">
        <v>1450</v>
      </c>
      <c r="H9" s="69">
        <v>23.93</v>
      </c>
      <c r="I9" s="81">
        <v>2</v>
      </c>
      <c r="J9" s="36" t="s">
        <v>56</v>
      </c>
      <c r="K9" s="36" t="str">
        <f>VLOOKUP(B9,[2]货品目录!$B:$M,12,0)</f>
        <v>0|0|碳钢管|屏风|未镀贵金属|非铃、钟、锣|无品牌|方管4*4 3*3</v>
      </c>
      <c r="L9" s="36" t="str">
        <f>VLOOKUP(B9,[2]货品目录!$B:$M,11,0)</f>
        <v>泉州市安溪县</v>
      </c>
    </row>
    <row r="10" s="37" customFormat="1" ht="30" customHeight="1" spans="1:12">
      <c r="A10" s="55">
        <v>2</v>
      </c>
      <c r="B10" s="54" t="s">
        <v>18</v>
      </c>
      <c r="C10" s="56" t="str">
        <f>VLOOKUP(B10,[2]货品目录!$B:$C,2,0)</f>
        <v>8419810000</v>
      </c>
      <c r="D10" s="56" t="s">
        <v>19</v>
      </c>
      <c r="E10" s="68">
        <v>3</v>
      </c>
      <c r="F10" s="69">
        <v>875</v>
      </c>
      <c r="G10" s="69">
        <v>800</v>
      </c>
      <c r="H10" s="69">
        <v>7.8</v>
      </c>
      <c r="I10" s="81">
        <v>1</v>
      </c>
      <c r="J10" s="36" t="s">
        <v>56</v>
      </c>
      <c r="K10" s="36" t="str">
        <f>VLOOKUP(B10,[2]货品目录!$B:$M,12,0)</f>
        <v>0|0|金属框架配石质台面，配有不锈钢餐槽及保温系统|无品牌|无型号|</v>
      </c>
      <c r="L10" s="36" t="str">
        <f>VLOOKUP(B10,[2]货品目录!$B:$M,11,0)</f>
        <v>广东省广州市</v>
      </c>
    </row>
    <row r="11" s="37" customFormat="1" ht="30" customHeight="1" spans="1:12">
      <c r="A11" s="55">
        <v>3</v>
      </c>
      <c r="B11" s="57" t="s">
        <v>20</v>
      </c>
      <c r="C11" s="115" t="str">
        <f>VLOOKUP(B11,[2]货品目录!$B:$C,2,0)</f>
        <v>9403200000</v>
      </c>
      <c r="D11" s="56" t="s">
        <v>21</v>
      </c>
      <c r="E11" s="68">
        <v>3</v>
      </c>
      <c r="F11" s="69">
        <v>180</v>
      </c>
      <c r="G11" s="69">
        <v>170</v>
      </c>
      <c r="H11" s="69">
        <v>1.82</v>
      </c>
      <c r="I11" s="37">
        <v>3</v>
      </c>
      <c r="J11" s="36" t="s">
        <v>57</v>
      </c>
      <c r="K11" s="36" t="str">
        <f>VLOOKUP(B11,[2]货品目录!$B:$M,12,0)</f>
        <v>0|0|用于搁置调酒器皿|不锈钢|无品牌|1.2米长|</v>
      </c>
      <c r="L11" s="36" t="str">
        <f>VLOOKUP(B11,[2]货品目录!$B:$M,11,0)</f>
        <v>广州市番禺区</v>
      </c>
    </row>
    <row r="12" s="37" customFormat="1" ht="30" customHeight="1" spans="1:12">
      <c r="A12" s="55">
        <v>4</v>
      </c>
      <c r="B12" s="57" t="s">
        <v>22</v>
      </c>
      <c r="C12" s="56" t="str">
        <f>VLOOKUP(B12,[2]货品目录!$B:$C,2,0)</f>
        <v>7326909000</v>
      </c>
      <c r="D12" s="56" t="s">
        <v>23</v>
      </c>
      <c r="E12" s="68">
        <v>3</v>
      </c>
      <c r="F12" s="69">
        <v>258</v>
      </c>
      <c r="G12" s="69">
        <v>250</v>
      </c>
      <c r="H12" s="69">
        <v>1.161</v>
      </c>
      <c r="I12" s="37">
        <v>22.8</v>
      </c>
      <c r="J12" s="36" t="s">
        <v>58</v>
      </c>
      <c r="K12" s="36" t="str">
        <f>VLOOKUP(B12,[2]货品目录!$B:$M,12,0)</f>
        <v>0|0|非工业用|外层不锈钢板，内层铝蜂窝芯|切割成型并封边|</v>
      </c>
      <c r="L12" s="36" t="str">
        <f>VLOOKUP(B12,[2]货品目录!$B:$M,11,0)</f>
        <v>广东省佛山市</v>
      </c>
    </row>
    <row r="13" s="37" customFormat="1" ht="30" customHeight="1" spans="1:12">
      <c r="A13" s="55">
        <v>5</v>
      </c>
      <c r="B13" s="57" t="s">
        <v>24</v>
      </c>
      <c r="C13" s="56" t="str">
        <f>VLOOKUP(B13,[2]货品目录!$B:$C,2,0)</f>
        <v>7326909000</v>
      </c>
      <c r="D13" s="56" t="s">
        <v>25</v>
      </c>
      <c r="E13" s="68">
        <v>1</v>
      </c>
      <c r="F13" s="69">
        <v>149.3</v>
      </c>
      <c r="G13" s="69">
        <v>145</v>
      </c>
      <c r="H13" s="69">
        <v>4.305</v>
      </c>
      <c r="I13" s="37">
        <v>1</v>
      </c>
      <c r="J13" s="36" t="s">
        <v>56</v>
      </c>
      <c r="K13" s="36" t="str">
        <f>VLOOKUP(B13,[2]货品目录!$B:$M,12,0)</f>
        <v>0|0|非工业用|不锈钢30*30方管|不锈钢拼接而成，使用钢化玻璃承接|</v>
      </c>
      <c r="L13" s="36" t="str">
        <f>VLOOKUP(B13,[2]货品目录!$B:$M,11,0)</f>
        <v>泉州市安溪县</v>
      </c>
    </row>
    <row r="14" s="37" customFormat="1" ht="30" customHeight="1" spans="1:12">
      <c r="A14" s="55">
        <v>6</v>
      </c>
      <c r="B14" s="57" t="s">
        <v>26</v>
      </c>
      <c r="C14" s="56" t="str">
        <f>VLOOKUP(B14,[2]货品目录!$B:$C,2,0)</f>
        <v>9403200000</v>
      </c>
      <c r="D14" s="56" t="s">
        <v>27</v>
      </c>
      <c r="E14" s="68">
        <v>1</v>
      </c>
      <c r="F14" s="69">
        <v>530</v>
      </c>
      <c r="G14" s="69">
        <v>460</v>
      </c>
      <c r="H14" s="69">
        <v>1.25</v>
      </c>
      <c r="I14" s="37">
        <v>1</v>
      </c>
      <c r="J14" s="36" t="s">
        <v>56</v>
      </c>
      <c r="K14" s="36" t="str">
        <f>VLOOKUP(B14,[2]货品目录!$B:$M,12,0)</f>
        <v>0|0|用于餐厅包厢门及空间隔断装饰|不锈钢主题搭配金属装饰条|无品牌|1681*2674mm|</v>
      </c>
      <c r="L14" s="36" t="str">
        <f>VLOOKUP(B14,[2]货品目录!$B:$M,11,0)</f>
        <v>广东省广州市</v>
      </c>
    </row>
    <row r="15" s="37" customFormat="1" ht="30" customHeight="1" spans="1:12">
      <c r="A15" s="55">
        <v>7</v>
      </c>
      <c r="B15" s="57" t="s">
        <v>28</v>
      </c>
      <c r="C15" s="56">
        <f>VLOOKUP(B15,[2]货品目录!$B:$C,2,0)</f>
        <v>6907219000</v>
      </c>
      <c r="D15" s="56" t="s">
        <v>29</v>
      </c>
      <c r="E15" s="68">
        <v>250</v>
      </c>
      <c r="F15" s="69">
        <v>18540</v>
      </c>
      <c r="G15" s="69">
        <v>18500</v>
      </c>
      <c r="H15" s="69">
        <v>23.04</v>
      </c>
      <c r="I15" s="37">
        <v>232</v>
      </c>
      <c r="J15" s="36" t="s">
        <v>58</v>
      </c>
      <c r="K15" s="36" t="str">
        <f>VLOOKUP(B15,[2]货品目录!$B:$M,12,0)</f>
        <v>0|0|铺面砖|800*800|0.003|无品牌|深灰色</v>
      </c>
      <c r="L15" s="36" t="str">
        <f>VLOOKUP(B15,[2]货品目录!$B:$M,11,0)</f>
        <v>佛山市禅城区</v>
      </c>
    </row>
    <row r="16" s="37" customFormat="1" ht="30" customHeight="1" spans="1:10">
      <c r="A16" s="58" t="s">
        <v>30</v>
      </c>
      <c r="B16" s="57"/>
      <c r="C16" s="58"/>
      <c r="D16" s="58"/>
      <c r="E16" s="70">
        <f t="shared" ref="E16:H16" si="0">SUM(E9:E15)</f>
        <v>283</v>
      </c>
      <c r="F16" s="71">
        <f t="shared" si="0"/>
        <v>22060.3</v>
      </c>
      <c r="G16" s="71">
        <f t="shared" si="0"/>
        <v>21775</v>
      </c>
      <c r="H16" s="72">
        <f t="shared" si="0"/>
        <v>63.306</v>
      </c>
      <c r="J16" s="36"/>
    </row>
    <row r="17" s="38" customFormat="1" ht="19.1" spans="1:8">
      <c r="A17" s="59" t="s">
        <v>42</v>
      </c>
      <c r="B17" s="60"/>
      <c r="C17" s="61"/>
      <c r="D17" s="61"/>
      <c r="E17" s="73" t="s">
        <v>43</v>
      </c>
      <c r="F17" s="74"/>
      <c r="G17" s="74"/>
      <c r="H17" s="75"/>
    </row>
    <row r="18" s="39" customFormat="1" ht="109.5" customHeight="1" spans="1:8">
      <c r="A18" s="62" t="str">
        <f>B5</f>
        <v>上海捷淞国际物流有限公司
JIESONG INTERNATIONAL LOGISTICS CO., LTD
C / F, 888 Huanhu West second Road, Lingang New District, China (Shanghai) Free Trade Experimental Zone / 201306</v>
      </c>
      <c r="B18" s="63"/>
      <c r="C18" s="64"/>
      <c r="D18" s="64"/>
      <c r="E18" s="76" t="str">
        <f>B6</f>
        <v>Sp food trading LLC</v>
      </c>
      <c r="F18" s="77"/>
      <c r="G18" s="77"/>
      <c r="H18" s="78"/>
    </row>
    <row r="19" s="36" customFormat="1" spans="1:8">
      <c r="A19" s="65"/>
      <c r="B19" s="65"/>
      <c r="C19" s="65"/>
      <c r="D19" s="65"/>
      <c r="E19" s="65"/>
      <c r="F19" s="65"/>
      <c r="G19" s="65"/>
      <c r="H19" s="65"/>
    </row>
  </sheetData>
  <mergeCells count="11">
    <mergeCell ref="A1:H1"/>
    <mergeCell ref="A2:H2"/>
    <mergeCell ref="B5:H5"/>
    <mergeCell ref="B6:H6"/>
    <mergeCell ref="A7:H7"/>
    <mergeCell ref="A16:D16"/>
    <mergeCell ref="A17:D17"/>
    <mergeCell ref="E17:H17"/>
    <mergeCell ref="A18:D18"/>
    <mergeCell ref="E18:H18"/>
    <mergeCell ref="A3:G4"/>
  </mergeCells>
  <pageMargins left="0.699305555555556" right="0.699305555555556" top="0.75" bottom="0.75" header="0.3" footer="0.3"/>
  <pageSetup paperSize="9" scale="37"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W12"/>
  <sheetViews>
    <sheetView zoomScale="138" zoomScaleNormal="138" topLeftCell="I1" workbookViewId="0">
      <selection activeCell="K8" sqref="K8"/>
    </sheetView>
  </sheetViews>
  <sheetFormatPr defaultColWidth="8.70967741935484" defaultRowHeight="12.95"/>
  <cols>
    <col min="1" max="1" width="15.2822580645161" customWidth="1"/>
    <col min="2" max="2" width="12.6129032258065" customWidth="1"/>
    <col min="9" max="9" width="14.9274193548387" customWidth="1"/>
    <col min="10" max="10" width="11.9274193548387"/>
    <col min="14" max="14" width="15.1451612903226" customWidth="1"/>
    <col min="15" max="16" width="11.0725806451613" customWidth="1"/>
  </cols>
  <sheetData>
    <row r="1" ht="13.1" spans="1:23">
      <c r="A1" s="22" t="s">
        <v>59</v>
      </c>
      <c r="B1" s="22" t="s">
        <v>60</v>
      </c>
      <c r="C1" s="22" t="s">
        <v>61</v>
      </c>
      <c r="D1" s="22" t="s">
        <v>62</v>
      </c>
      <c r="E1" s="22" t="s">
        <v>63</v>
      </c>
      <c r="F1" s="22" t="s">
        <v>53</v>
      </c>
      <c r="G1" s="22" t="s">
        <v>64</v>
      </c>
      <c r="H1" s="32" t="s">
        <v>65</v>
      </c>
      <c r="I1" s="32" t="s">
        <v>66</v>
      </c>
      <c r="J1" s="32" t="s">
        <v>67</v>
      </c>
      <c r="K1" s="32" t="s">
        <v>68</v>
      </c>
      <c r="L1" s="33" t="s">
        <v>69</v>
      </c>
      <c r="M1" s="22"/>
      <c r="N1" s="35"/>
      <c r="O1" s="22"/>
      <c r="P1" s="22"/>
      <c r="Q1" s="22"/>
      <c r="R1" s="22"/>
      <c r="S1" s="34"/>
      <c r="T1" s="22"/>
      <c r="U1" s="22"/>
      <c r="V1" s="22"/>
      <c r="W1" s="22"/>
    </row>
    <row r="2" ht="13.1" spans="1:23">
      <c r="A2" s="30" t="s">
        <v>16</v>
      </c>
      <c r="B2" s="30"/>
      <c r="C2" s="22" t="s">
        <v>2</v>
      </c>
      <c r="D2" s="22" t="s">
        <v>70</v>
      </c>
      <c r="E2" s="30">
        <v>2</v>
      </c>
      <c r="F2" s="30" t="s">
        <v>56</v>
      </c>
      <c r="G2" s="22" t="s">
        <v>71</v>
      </c>
      <c r="H2" s="30" t="s">
        <v>17</v>
      </c>
      <c r="I2" s="30">
        <v>22</v>
      </c>
      <c r="J2" s="22">
        <v>1528</v>
      </c>
      <c r="K2" s="22">
        <v>1450</v>
      </c>
      <c r="L2" s="34">
        <v>23.93</v>
      </c>
      <c r="M2" s="22"/>
      <c r="N2" s="35"/>
      <c r="O2" s="22"/>
      <c r="P2" s="30"/>
      <c r="Q2" s="30"/>
      <c r="R2" s="30"/>
      <c r="S2" s="34"/>
      <c r="T2" s="30"/>
      <c r="U2" s="22"/>
      <c r="V2" s="22"/>
      <c r="W2" s="22"/>
    </row>
    <row r="3" ht="13.1" spans="1:23">
      <c r="A3" s="22" t="s">
        <v>18</v>
      </c>
      <c r="B3" s="22"/>
      <c r="C3" s="22" t="s">
        <v>2</v>
      </c>
      <c r="D3" s="22" t="s">
        <v>70</v>
      </c>
      <c r="E3" s="22">
        <v>1</v>
      </c>
      <c r="F3" s="22" t="s">
        <v>56</v>
      </c>
      <c r="G3" s="22" t="s">
        <v>72</v>
      </c>
      <c r="H3" s="22" t="s">
        <v>19</v>
      </c>
      <c r="I3" s="22">
        <v>3</v>
      </c>
      <c r="J3" s="22">
        <v>875</v>
      </c>
      <c r="K3" s="22">
        <v>800</v>
      </c>
      <c r="L3" s="34">
        <v>7.8</v>
      </c>
      <c r="M3" s="22"/>
      <c r="N3" s="35"/>
      <c r="O3" s="22"/>
      <c r="P3" s="22"/>
      <c r="Q3" s="22"/>
      <c r="R3" s="30"/>
      <c r="S3" s="34"/>
      <c r="T3" s="22"/>
      <c r="U3" s="22"/>
      <c r="V3" s="22"/>
      <c r="W3" s="22"/>
    </row>
    <row r="4" ht="13.1" spans="1:23">
      <c r="A4" s="31" t="s">
        <v>20</v>
      </c>
      <c r="B4" s="22" t="s">
        <v>73</v>
      </c>
      <c r="C4" s="22" t="s">
        <v>2</v>
      </c>
      <c r="D4" s="22" t="s">
        <v>70</v>
      </c>
      <c r="E4" s="22">
        <v>3</v>
      </c>
      <c r="F4" s="22" t="s">
        <v>57</v>
      </c>
      <c r="G4" s="22" t="s">
        <v>74</v>
      </c>
      <c r="H4" s="22" t="s">
        <v>21</v>
      </c>
      <c r="I4" s="22">
        <v>3</v>
      </c>
      <c r="J4" s="22">
        <v>180</v>
      </c>
      <c r="K4" s="22">
        <v>170</v>
      </c>
      <c r="L4" s="34">
        <v>1.82</v>
      </c>
      <c r="M4" s="22"/>
      <c r="N4" s="35"/>
      <c r="O4" s="22"/>
      <c r="P4" s="22"/>
      <c r="Q4" s="22"/>
      <c r="R4" s="22"/>
      <c r="S4" s="34"/>
      <c r="T4" s="22"/>
      <c r="U4" s="22"/>
      <c r="V4" s="22"/>
      <c r="W4" s="22"/>
    </row>
    <row r="5" ht="13.1" spans="1:23">
      <c r="A5" s="22" t="s">
        <v>22</v>
      </c>
      <c r="B5" s="22"/>
      <c r="C5" s="22" t="s">
        <v>2</v>
      </c>
      <c r="D5" s="22" t="s">
        <v>70</v>
      </c>
      <c r="E5" s="22">
        <v>22.8</v>
      </c>
      <c r="F5" s="22" t="s">
        <v>58</v>
      </c>
      <c r="G5" s="22" t="s">
        <v>75</v>
      </c>
      <c r="H5" s="22" t="s">
        <v>23</v>
      </c>
      <c r="I5" s="22">
        <v>3</v>
      </c>
      <c r="J5" s="22">
        <v>258</v>
      </c>
      <c r="K5" s="22">
        <v>250</v>
      </c>
      <c r="L5" s="34">
        <v>1.161</v>
      </c>
      <c r="M5" s="22"/>
      <c r="N5" s="35"/>
      <c r="O5" s="22"/>
      <c r="P5" s="22"/>
      <c r="Q5" s="22"/>
      <c r="R5" s="22"/>
      <c r="S5" s="34"/>
      <c r="T5" s="22"/>
      <c r="U5" s="22"/>
      <c r="V5" s="22"/>
      <c r="W5" s="22"/>
    </row>
    <row r="6" ht="13.1" spans="1:23">
      <c r="A6" s="22" t="s">
        <v>24</v>
      </c>
      <c r="B6" s="22"/>
      <c r="C6" s="22" t="s">
        <v>2</v>
      </c>
      <c r="D6" s="22" t="s">
        <v>70</v>
      </c>
      <c r="E6" s="22">
        <v>1</v>
      </c>
      <c r="F6" s="22" t="s">
        <v>56</v>
      </c>
      <c r="G6" s="22"/>
      <c r="H6" s="22" t="s">
        <v>25</v>
      </c>
      <c r="I6" s="22">
        <v>1</v>
      </c>
      <c r="J6" s="22">
        <v>149.3</v>
      </c>
      <c r="K6" s="22">
        <v>145</v>
      </c>
      <c r="L6" s="34">
        <v>4.305</v>
      </c>
      <c r="M6" s="22"/>
      <c r="N6" s="35"/>
      <c r="O6" s="22"/>
      <c r="P6" s="22"/>
      <c r="Q6" s="22"/>
      <c r="R6" s="22"/>
      <c r="S6" s="34"/>
      <c r="T6" s="22"/>
      <c r="U6" s="22"/>
      <c r="V6" s="22"/>
      <c r="W6" s="22"/>
    </row>
    <row r="7" ht="13.1" spans="1:23">
      <c r="A7" s="22" t="s">
        <v>26</v>
      </c>
      <c r="B7" s="22" t="s">
        <v>76</v>
      </c>
      <c r="C7" s="22" t="s">
        <v>2</v>
      </c>
      <c r="D7" s="22" t="s">
        <v>70</v>
      </c>
      <c r="E7" s="22">
        <v>1</v>
      </c>
      <c r="F7" s="22" t="s">
        <v>56</v>
      </c>
      <c r="G7" s="22"/>
      <c r="H7" s="22" t="s">
        <v>27</v>
      </c>
      <c r="I7" s="22">
        <v>1</v>
      </c>
      <c r="J7" s="22">
        <v>530</v>
      </c>
      <c r="K7" s="22">
        <v>460</v>
      </c>
      <c r="L7" s="34">
        <v>1.25</v>
      </c>
      <c r="M7" s="22"/>
      <c r="N7" s="35"/>
      <c r="O7" s="22"/>
      <c r="P7" s="22"/>
      <c r="Q7" s="22"/>
      <c r="R7" s="22"/>
      <c r="S7" s="34"/>
      <c r="T7" s="22"/>
      <c r="U7" s="22"/>
      <c r="V7" s="22"/>
      <c r="W7" s="22"/>
    </row>
    <row r="8" ht="13.1" spans="1:23">
      <c r="A8" s="22" t="s">
        <v>28</v>
      </c>
      <c r="B8" s="22" t="s">
        <v>77</v>
      </c>
      <c r="C8" s="22" t="s">
        <v>2</v>
      </c>
      <c r="D8" s="22" t="s">
        <v>70</v>
      </c>
      <c r="E8" s="22">
        <v>232</v>
      </c>
      <c r="F8" s="22" t="s">
        <v>58</v>
      </c>
      <c r="G8" s="22"/>
      <c r="H8" s="22" t="s">
        <v>29</v>
      </c>
      <c r="I8" s="22">
        <v>250</v>
      </c>
      <c r="J8" s="22">
        <v>18540</v>
      </c>
      <c r="K8" s="22">
        <v>18500</v>
      </c>
      <c r="L8" s="34">
        <v>23.04</v>
      </c>
      <c r="M8" s="22"/>
      <c r="N8" s="35"/>
      <c r="O8" s="22"/>
      <c r="P8" s="22"/>
      <c r="Q8" s="22"/>
      <c r="R8" s="22"/>
      <c r="S8" s="34"/>
      <c r="T8" s="22"/>
      <c r="U8" s="22"/>
      <c r="V8" s="22"/>
      <c r="W8" s="22"/>
    </row>
    <row r="9" ht="13.1" spans="1:16">
      <c r="A9" s="22"/>
      <c r="B9" s="22"/>
      <c r="C9" s="22"/>
      <c r="D9" s="22"/>
      <c r="E9" s="22"/>
      <c r="F9" s="22"/>
      <c r="G9" s="22"/>
      <c r="H9" s="22"/>
      <c r="I9" s="22"/>
      <c r="J9" s="22"/>
      <c r="K9" s="22"/>
      <c r="L9" s="34"/>
      <c r="M9" s="22"/>
      <c r="N9" s="35"/>
      <c r="O9" s="22"/>
      <c r="P9" s="22"/>
    </row>
    <row r="10" ht="13.1" spans="1:16">
      <c r="A10" s="22"/>
      <c r="B10" s="22"/>
      <c r="C10" s="22"/>
      <c r="D10" s="22"/>
      <c r="E10" s="22"/>
      <c r="F10" s="22"/>
      <c r="G10" s="22"/>
      <c r="H10" s="22"/>
      <c r="I10" s="22"/>
      <c r="J10" s="22"/>
      <c r="K10" s="22"/>
      <c r="L10" s="34"/>
      <c r="M10" s="22"/>
      <c r="N10" s="35"/>
      <c r="O10" s="22"/>
      <c r="P10" s="22"/>
    </row>
    <row r="11" ht="13.1" spans="1:16">
      <c r="A11" s="22"/>
      <c r="B11" s="22"/>
      <c r="C11" s="22"/>
      <c r="D11" s="22"/>
      <c r="E11" s="22"/>
      <c r="F11" s="22"/>
      <c r="G11" s="22"/>
      <c r="H11" s="22"/>
      <c r="I11" s="22"/>
      <c r="J11" s="22"/>
      <c r="K11" s="22"/>
      <c r="L11" s="34"/>
      <c r="M11" s="22"/>
      <c r="N11" s="35"/>
      <c r="O11" s="22"/>
      <c r="P11" s="22"/>
    </row>
    <row r="12" ht="13.1" spans="1:16">
      <c r="A12" s="22"/>
      <c r="B12" s="22"/>
      <c r="C12" s="22"/>
      <c r="D12" s="22"/>
      <c r="E12" s="22"/>
      <c r="F12" s="22"/>
      <c r="G12" s="22"/>
      <c r="H12" s="22"/>
      <c r="I12" s="22"/>
      <c r="J12" s="22"/>
      <c r="K12" s="22"/>
      <c r="L12" s="34"/>
      <c r="M12" s="22"/>
      <c r="N12" s="35"/>
      <c r="O12" s="22"/>
      <c r="P12" s="22"/>
    </row>
  </sheetData>
  <sortState ref="A2:X17">
    <sortCondition ref="N7"/>
  </sortState>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X18"/>
  <sheetViews>
    <sheetView zoomScale="92" zoomScaleNormal="92" workbookViewId="0">
      <selection activeCell="D14" sqref="D14"/>
    </sheetView>
  </sheetViews>
  <sheetFormatPr defaultColWidth="8.70967741935484" defaultRowHeight="16.8"/>
  <cols>
    <col min="1" max="1" width="5.57258064516129" customWidth="1"/>
    <col min="2" max="2" width="18.4274193548387" customWidth="1"/>
    <col min="3" max="3" width="7.91935483870968" customWidth="1"/>
    <col min="4" max="4" width="9.57258064516129" customWidth="1"/>
    <col min="5" max="6" width="9.35483870967742"/>
    <col min="7" max="7" width="7.57258064516129" customWidth="1"/>
    <col min="8" max="8" width="6" customWidth="1"/>
    <col min="9" max="9" width="14" customWidth="1"/>
    <col min="10" max="10" width="12.7822580645161"/>
    <col min="11" max="11" width="11.9274193548387"/>
    <col min="12" max="12" width="14" customWidth="1"/>
    <col min="13" max="13" width="9.57258064516129"/>
    <col min="14" max="14" width="14.8790322580645" customWidth="1"/>
    <col min="15" max="15" width="11.2822580645161" customWidth="1"/>
    <col min="16" max="16" width="11.0725806451613" customWidth="1"/>
    <col min="17" max="17" width="14" customWidth="1"/>
    <col min="19" max="19" width="18.758064516129" customWidth="1"/>
    <col min="20" max="20" width="9.92741935483871"/>
  </cols>
  <sheetData>
    <row r="1" spans="1:24">
      <c r="A1" s="20" t="s">
        <v>78</v>
      </c>
      <c r="B1" s="21" t="s">
        <v>59</v>
      </c>
      <c r="C1" s="21" t="s">
        <v>60</v>
      </c>
      <c r="D1" s="20" t="s">
        <v>61</v>
      </c>
      <c r="E1" s="20" t="s">
        <v>62</v>
      </c>
      <c r="F1" s="21" t="s">
        <v>63</v>
      </c>
      <c r="G1" s="20" t="s">
        <v>53</v>
      </c>
      <c r="H1" s="20" t="s">
        <v>64</v>
      </c>
      <c r="I1" s="25" t="s">
        <v>65</v>
      </c>
      <c r="J1" s="25" t="s">
        <v>66</v>
      </c>
      <c r="K1" s="25" t="s">
        <v>67</v>
      </c>
      <c r="L1" s="25" t="s">
        <v>68</v>
      </c>
      <c r="M1" s="26" t="s">
        <v>69</v>
      </c>
      <c r="N1" s="20" t="s">
        <v>79</v>
      </c>
      <c r="O1" s="27" t="s">
        <v>80</v>
      </c>
      <c r="P1" s="20" t="s">
        <v>81</v>
      </c>
      <c r="Q1" s="20" t="s">
        <v>82</v>
      </c>
      <c r="R1" s="20" t="s">
        <v>83</v>
      </c>
      <c r="S1" s="21" t="s">
        <v>84</v>
      </c>
      <c r="T1" s="28"/>
      <c r="U1" s="21"/>
      <c r="V1" s="20"/>
      <c r="W1" s="21"/>
      <c r="X1" s="21"/>
    </row>
    <row r="2" spans="1:24">
      <c r="A2" s="20">
        <v>268</v>
      </c>
      <c r="B2" s="21" t="s">
        <v>85</v>
      </c>
      <c r="C2" s="20" t="s">
        <v>86</v>
      </c>
      <c r="D2" s="20" t="s">
        <v>87</v>
      </c>
      <c r="E2" s="20" t="s">
        <v>88</v>
      </c>
      <c r="F2" s="20">
        <v>4</v>
      </c>
      <c r="G2" s="20" t="s">
        <v>89</v>
      </c>
      <c r="H2" s="20" t="s">
        <v>90</v>
      </c>
      <c r="I2" s="20" t="s">
        <v>91</v>
      </c>
      <c r="J2" s="20">
        <v>4</v>
      </c>
      <c r="K2" s="20">
        <v>480</v>
      </c>
      <c r="L2" s="20">
        <v>460</v>
      </c>
      <c r="M2" s="28">
        <v>8.8</v>
      </c>
      <c r="N2" s="21" t="s">
        <v>92</v>
      </c>
      <c r="O2" s="27">
        <v>46008</v>
      </c>
      <c r="P2" s="21" t="s">
        <v>93</v>
      </c>
      <c r="Q2" s="20" t="s">
        <v>94</v>
      </c>
      <c r="R2" s="20"/>
      <c r="S2" s="21" t="s">
        <v>95</v>
      </c>
      <c r="T2" s="28"/>
      <c r="U2" s="21"/>
      <c r="V2" s="21"/>
      <c r="W2" s="20"/>
      <c r="X2" s="21"/>
    </row>
    <row r="3" spans="1:24">
      <c r="A3" s="20">
        <v>286</v>
      </c>
      <c r="B3" s="21" t="s">
        <v>96</v>
      </c>
      <c r="C3" s="20"/>
      <c r="D3" s="20" t="s">
        <v>87</v>
      </c>
      <c r="E3" s="20" t="s">
        <v>88</v>
      </c>
      <c r="F3" s="20">
        <v>10</v>
      </c>
      <c r="G3" s="21" t="s">
        <v>97</v>
      </c>
      <c r="H3" s="20"/>
      <c r="I3" s="21" t="s">
        <v>98</v>
      </c>
      <c r="J3" s="20">
        <v>3</v>
      </c>
      <c r="K3" s="20">
        <v>141.65</v>
      </c>
      <c r="L3" s="20">
        <v>140</v>
      </c>
      <c r="M3" s="28">
        <v>1.317708</v>
      </c>
      <c r="N3" s="21" t="s">
        <v>92</v>
      </c>
      <c r="O3" s="27">
        <v>46008</v>
      </c>
      <c r="P3" s="21" t="s">
        <v>93</v>
      </c>
      <c r="Q3" s="21" t="s">
        <v>99</v>
      </c>
      <c r="R3" s="21" t="s">
        <v>100</v>
      </c>
      <c r="S3" s="21" t="s">
        <v>101</v>
      </c>
      <c r="T3" s="28"/>
      <c r="U3" s="21"/>
      <c r="V3" s="20"/>
      <c r="W3" s="20"/>
      <c r="X3" s="20"/>
    </row>
    <row r="4" spans="1:24">
      <c r="A4" s="20">
        <v>299</v>
      </c>
      <c r="B4" s="21" t="s">
        <v>102</v>
      </c>
      <c r="C4" s="21" t="s">
        <v>103</v>
      </c>
      <c r="D4" s="20" t="s">
        <v>87</v>
      </c>
      <c r="E4" s="21" t="s">
        <v>88</v>
      </c>
      <c r="F4" s="20">
        <v>20</v>
      </c>
      <c r="G4" s="21" t="s">
        <v>104</v>
      </c>
      <c r="H4" s="20" t="s">
        <v>105</v>
      </c>
      <c r="I4" s="21" t="s">
        <v>106</v>
      </c>
      <c r="J4" s="20">
        <v>20</v>
      </c>
      <c r="K4" s="20">
        <v>232</v>
      </c>
      <c r="L4" s="20">
        <v>230</v>
      </c>
      <c r="M4" s="28">
        <v>4.3776</v>
      </c>
      <c r="N4" s="21" t="s">
        <v>92</v>
      </c>
      <c r="O4" s="27">
        <v>46008</v>
      </c>
      <c r="P4" s="21" t="s">
        <v>93</v>
      </c>
      <c r="Q4" s="20" t="s">
        <v>99</v>
      </c>
      <c r="R4" s="20" t="s">
        <v>100</v>
      </c>
      <c r="S4" s="21" t="s">
        <v>101</v>
      </c>
      <c r="T4" s="28"/>
      <c r="U4" s="21"/>
      <c r="V4" s="20"/>
      <c r="W4" s="20"/>
      <c r="X4" s="20"/>
    </row>
    <row r="5" s="19" customFormat="1" spans="1:24">
      <c r="A5" s="20"/>
      <c r="B5" s="21" t="s">
        <v>107</v>
      </c>
      <c r="C5" s="21" t="s">
        <v>108</v>
      </c>
      <c r="D5" s="21" t="s">
        <v>109</v>
      </c>
      <c r="E5" s="20" t="s">
        <v>110</v>
      </c>
      <c r="F5" s="20">
        <v>66</v>
      </c>
      <c r="G5" s="21" t="s">
        <v>56</v>
      </c>
      <c r="H5" s="20" t="s">
        <v>111</v>
      </c>
      <c r="I5" s="21" t="s">
        <v>112</v>
      </c>
      <c r="J5" s="20">
        <v>12</v>
      </c>
      <c r="K5" s="20">
        <v>186</v>
      </c>
      <c r="L5" s="20">
        <v>181</v>
      </c>
      <c r="M5" s="20">
        <v>0.9038</v>
      </c>
      <c r="N5" s="20" t="s">
        <v>92</v>
      </c>
      <c r="O5" s="27">
        <v>46008</v>
      </c>
      <c r="P5" s="21" t="s">
        <v>93</v>
      </c>
      <c r="Q5" s="21" t="s">
        <v>99</v>
      </c>
      <c r="R5" s="20"/>
      <c r="S5" s="21" t="s">
        <v>113</v>
      </c>
      <c r="T5" s="28"/>
      <c r="U5" s="21"/>
      <c r="V5" s="20"/>
      <c r="W5" s="20"/>
      <c r="X5" s="20"/>
    </row>
    <row r="6" s="19" customFormat="1" spans="1:24">
      <c r="A6" s="20">
        <v>315</v>
      </c>
      <c r="B6" s="21" t="s">
        <v>102</v>
      </c>
      <c r="C6" s="20"/>
      <c r="D6" s="20" t="s">
        <v>87</v>
      </c>
      <c r="E6" s="20" t="s">
        <v>88</v>
      </c>
      <c r="F6" s="20">
        <v>300</v>
      </c>
      <c r="G6" s="21" t="s">
        <v>104</v>
      </c>
      <c r="H6" s="20" t="s">
        <v>105</v>
      </c>
      <c r="I6" s="20" t="s">
        <v>114</v>
      </c>
      <c r="J6" s="20">
        <v>150</v>
      </c>
      <c r="K6" s="20">
        <v>2250</v>
      </c>
      <c r="L6" s="20">
        <v>2200</v>
      </c>
      <c r="M6" s="28">
        <v>33.6</v>
      </c>
      <c r="N6" s="20" t="s">
        <v>92</v>
      </c>
      <c r="O6" s="27">
        <v>46008</v>
      </c>
      <c r="P6" s="21" t="s">
        <v>93</v>
      </c>
      <c r="Q6" s="21" t="s">
        <v>99</v>
      </c>
      <c r="R6" s="21" t="s">
        <v>100</v>
      </c>
      <c r="S6" s="21" t="s">
        <v>115</v>
      </c>
      <c r="T6" s="28" t="s">
        <v>116</v>
      </c>
      <c r="U6" s="21"/>
      <c r="V6" s="20"/>
      <c r="W6" s="20"/>
      <c r="X6" s="20"/>
    </row>
    <row r="7" s="19" customFormat="1" spans="1:24">
      <c r="A7" s="20">
        <v>316</v>
      </c>
      <c r="B7" s="21" t="s">
        <v>117</v>
      </c>
      <c r="C7" s="20"/>
      <c r="D7" s="21" t="s">
        <v>118</v>
      </c>
      <c r="E7" s="20" t="s">
        <v>88</v>
      </c>
      <c r="F7" s="20">
        <v>1</v>
      </c>
      <c r="G7" s="21" t="s">
        <v>56</v>
      </c>
      <c r="H7" s="20" t="s">
        <v>119</v>
      </c>
      <c r="I7" s="20" t="s">
        <v>120</v>
      </c>
      <c r="J7" s="20">
        <v>2</v>
      </c>
      <c r="K7" s="20">
        <v>470</v>
      </c>
      <c r="L7" s="20">
        <v>450</v>
      </c>
      <c r="M7" s="28">
        <v>2.258139</v>
      </c>
      <c r="N7" s="20" t="s">
        <v>92</v>
      </c>
      <c r="O7" s="27">
        <v>46008</v>
      </c>
      <c r="P7" s="21" t="s">
        <v>93</v>
      </c>
      <c r="Q7" s="21" t="s">
        <v>99</v>
      </c>
      <c r="R7" s="20"/>
      <c r="S7" s="21" t="s">
        <v>113</v>
      </c>
      <c r="T7" s="28"/>
      <c r="U7" s="21"/>
      <c r="V7" s="20"/>
      <c r="W7" s="20"/>
      <c r="X7" s="20"/>
    </row>
    <row r="8" s="19" customFormat="1" spans="1:24">
      <c r="A8" s="20">
        <v>317</v>
      </c>
      <c r="B8" s="21" t="s">
        <v>121</v>
      </c>
      <c r="C8" s="20" t="s">
        <v>122</v>
      </c>
      <c r="D8" s="20" t="s">
        <v>87</v>
      </c>
      <c r="E8" s="20" t="s">
        <v>88</v>
      </c>
      <c r="F8" s="20">
        <v>2864</v>
      </c>
      <c r="G8" s="21" t="s">
        <v>97</v>
      </c>
      <c r="H8" s="20" t="s">
        <v>123</v>
      </c>
      <c r="I8" s="20" t="s">
        <v>124</v>
      </c>
      <c r="J8" s="20">
        <v>25</v>
      </c>
      <c r="K8" s="20">
        <v>534.58</v>
      </c>
      <c r="L8" s="20">
        <v>520</v>
      </c>
      <c r="M8" s="28">
        <v>0.471</v>
      </c>
      <c r="N8" s="20" t="s">
        <v>92</v>
      </c>
      <c r="O8" s="27">
        <v>46008</v>
      </c>
      <c r="P8" s="21" t="s">
        <v>93</v>
      </c>
      <c r="Q8" s="21" t="s">
        <v>99</v>
      </c>
      <c r="R8" s="20"/>
      <c r="S8" s="21" t="s">
        <v>125</v>
      </c>
      <c r="T8" s="28"/>
      <c r="U8" s="21"/>
      <c r="V8" s="20"/>
      <c r="W8" s="20"/>
      <c r="X8" s="20"/>
    </row>
    <row r="9" s="19" customFormat="1" spans="1:24">
      <c r="A9" s="20">
        <v>319</v>
      </c>
      <c r="B9" s="21" t="s">
        <v>126</v>
      </c>
      <c r="C9" s="21" t="s">
        <v>127</v>
      </c>
      <c r="D9" s="20" t="s">
        <v>87</v>
      </c>
      <c r="E9" s="20" t="s">
        <v>88</v>
      </c>
      <c r="F9" s="20">
        <v>240</v>
      </c>
      <c r="G9" s="21" t="s">
        <v>97</v>
      </c>
      <c r="H9" s="21" t="s">
        <v>128</v>
      </c>
      <c r="I9" s="20" t="s">
        <v>129</v>
      </c>
      <c r="J9" s="20">
        <v>31</v>
      </c>
      <c r="K9" s="20">
        <v>312</v>
      </c>
      <c r="L9" s="20">
        <v>300</v>
      </c>
      <c r="M9" s="28">
        <v>2.14</v>
      </c>
      <c r="N9" s="20" t="s">
        <v>92</v>
      </c>
      <c r="O9" s="27">
        <v>46008</v>
      </c>
      <c r="P9" s="20" t="s">
        <v>93</v>
      </c>
      <c r="Q9" s="21" t="s">
        <v>99</v>
      </c>
      <c r="R9" s="20"/>
      <c r="S9" s="21" t="s">
        <v>125</v>
      </c>
      <c r="T9" s="28"/>
      <c r="U9" s="21"/>
      <c r="V9" s="20"/>
      <c r="W9" s="20"/>
      <c r="X9" s="20"/>
    </row>
    <row r="10" spans="1:24">
      <c r="A10" s="20">
        <v>321</v>
      </c>
      <c r="B10" s="21" t="s">
        <v>130</v>
      </c>
      <c r="C10" s="21" t="s">
        <v>131</v>
      </c>
      <c r="D10" s="20" t="s">
        <v>132</v>
      </c>
      <c r="E10" s="20" t="s">
        <v>70</v>
      </c>
      <c r="F10" s="20">
        <v>1.4</v>
      </c>
      <c r="G10" s="21" t="s">
        <v>133</v>
      </c>
      <c r="H10" s="21" t="s">
        <v>134</v>
      </c>
      <c r="I10" s="21" t="s">
        <v>135</v>
      </c>
      <c r="J10" s="20">
        <v>2</v>
      </c>
      <c r="K10" s="21">
        <v>90.2</v>
      </c>
      <c r="L10" s="21">
        <v>85</v>
      </c>
      <c r="M10" s="29">
        <v>0.164</v>
      </c>
      <c r="N10" s="20" t="s">
        <v>92</v>
      </c>
      <c r="O10" s="27">
        <v>46008</v>
      </c>
      <c r="P10" s="21" t="s">
        <v>93</v>
      </c>
      <c r="Q10" s="20" t="s">
        <v>99</v>
      </c>
      <c r="R10" s="20"/>
      <c r="S10" s="21" t="s">
        <v>113</v>
      </c>
      <c r="T10" s="28"/>
      <c r="U10" s="21"/>
      <c r="V10" s="20"/>
      <c r="W10" s="20"/>
      <c r="X10" s="20"/>
    </row>
    <row r="11" spans="1:24">
      <c r="A11" s="20">
        <v>322</v>
      </c>
      <c r="B11" s="21" t="s">
        <v>136</v>
      </c>
      <c r="C11" s="20"/>
      <c r="D11" s="20" t="s">
        <v>87</v>
      </c>
      <c r="E11" s="20" t="s">
        <v>88</v>
      </c>
      <c r="F11" s="20">
        <v>2</v>
      </c>
      <c r="G11" s="21" t="s">
        <v>89</v>
      </c>
      <c r="H11" s="21" t="s">
        <v>137</v>
      </c>
      <c r="I11" s="21" t="s">
        <v>138</v>
      </c>
      <c r="J11" s="20">
        <v>2</v>
      </c>
      <c r="K11" s="20">
        <v>226.8</v>
      </c>
      <c r="L11" s="20">
        <v>200</v>
      </c>
      <c r="M11" s="28">
        <v>3.029204</v>
      </c>
      <c r="N11" s="20" t="s">
        <v>92</v>
      </c>
      <c r="O11" s="27">
        <v>46008</v>
      </c>
      <c r="P11" s="21" t="s">
        <v>93</v>
      </c>
      <c r="Q11" s="20" t="s">
        <v>99</v>
      </c>
      <c r="R11" s="20" t="s">
        <v>100</v>
      </c>
      <c r="S11" s="21" t="s">
        <v>139</v>
      </c>
      <c r="T11" s="28"/>
      <c r="U11" s="21"/>
      <c r="V11" s="20"/>
      <c r="W11" s="20"/>
      <c r="X11" s="20"/>
    </row>
    <row r="12" spans="1:24">
      <c r="A12" s="20">
        <v>323</v>
      </c>
      <c r="B12" s="21" t="s">
        <v>85</v>
      </c>
      <c r="C12" s="20" t="s">
        <v>86</v>
      </c>
      <c r="D12" s="21" t="s">
        <v>140</v>
      </c>
      <c r="E12" s="20" t="s">
        <v>88</v>
      </c>
      <c r="F12" s="20">
        <v>29</v>
      </c>
      <c r="G12" s="20" t="s">
        <v>89</v>
      </c>
      <c r="H12" s="20" t="s">
        <v>90</v>
      </c>
      <c r="I12" s="20" t="s">
        <v>91</v>
      </c>
      <c r="J12" s="20">
        <v>28</v>
      </c>
      <c r="K12" s="20">
        <v>692</v>
      </c>
      <c r="L12" s="20">
        <v>680</v>
      </c>
      <c r="M12" s="28">
        <v>17.5</v>
      </c>
      <c r="N12" s="20" t="s">
        <v>92</v>
      </c>
      <c r="O12" s="27">
        <v>46008</v>
      </c>
      <c r="P12" s="20" t="s">
        <v>93</v>
      </c>
      <c r="Q12" s="21" t="s">
        <v>94</v>
      </c>
      <c r="R12" s="20"/>
      <c r="S12" s="21" t="s">
        <v>95</v>
      </c>
      <c r="T12" s="28"/>
      <c r="U12" s="21"/>
      <c r="V12" s="20"/>
      <c r="W12" s="20"/>
      <c r="X12" s="20"/>
    </row>
    <row r="13" spans="1:24">
      <c r="A13" s="20">
        <v>324</v>
      </c>
      <c r="B13" s="20" t="s">
        <v>28</v>
      </c>
      <c r="C13" s="20" t="s">
        <v>141</v>
      </c>
      <c r="D13" s="20" t="s">
        <v>142</v>
      </c>
      <c r="E13" s="20" t="s">
        <v>70</v>
      </c>
      <c r="F13" s="20">
        <v>27.36</v>
      </c>
      <c r="G13" s="20" t="s">
        <v>58</v>
      </c>
      <c r="H13" s="20" t="s">
        <v>143</v>
      </c>
      <c r="I13" s="20" t="s">
        <v>144</v>
      </c>
      <c r="J13" s="20">
        <v>19</v>
      </c>
      <c r="K13" s="20">
        <v>900</v>
      </c>
      <c r="L13" s="20">
        <v>880</v>
      </c>
      <c r="M13" s="28">
        <v>0.4</v>
      </c>
      <c r="N13" s="20" t="s">
        <v>92</v>
      </c>
      <c r="O13" s="27">
        <v>46008</v>
      </c>
      <c r="P13" s="20" t="s">
        <v>93</v>
      </c>
      <c r="Q13" s="20" t="s">
        <v>99</v>
      </c>
      <c r="R13" s="20" t="s">
        <v>100</v>
      </c>
      <c r="S13" s="21" t="s">
        <v>101</v>
      </c>
      <c r="T13" s="28"/>
      <c r="U13" s="21"/>
      <c r="V13" s="20"/>
      <c r="W13" s="20"/>
      <c r="X13" s="20"/>
    </row>
    <row r="14" spans="1:24">
      <c r="A14" s="20">
        <v>325</v>
      </c>
      <c r="B14" s="20" t="s">
        <v>145</v>
      </c>
      <c r="C14" s="20" t="s">
        <v>146</v>
      </c>
      <c r="D14" s="20" t="s">
        <v>140</v>
      </c>
      <c r="E14" s="20" t="s">
        <v>88</v>
      </c>
      <c r="F14" s="20">
        <v>25</v>
      </c>
      <c r="G14" s="21" t="s">
        <v>89</v>
      </c>
      <c r="H14" s="20" t="s">
        <v>147</v>
      </c>
      <c r="I14" s="21" t="s">
        <v>148</v>
      </c>
      <c r="J14" s="20">
        <v>5</v>
      </c>
      <c r="K14" s="20">
        <v>1050</v>
      </c>
      <c r="L14" s="20">
        <v>1000</v>
      </c>
      <c r="M14" s="28">
        <v>6.702</v>
      </c>
      <c r="N14" s="20" t="s">
        <v>92</v>
      </c>
      <c r="O14" s="27">
        <v>46008</v>
      </c>
      <c r="P14" s="20" t="s">
        <v>93</v>
      </c>
      <c r="Q14" s="20" t="s">
        <v>99</v>
      </c>
      <c r="R14" s="20"/>
      <c r="S14" s="20" t="s">
        <v>149</v>
      </c>
      <c r="T14" s="28"/>
      <c r="U14" s="21"/>
      <c r="V14" s="20"/>
      <c r="W14" s="20"/>
      <c r="X14" s="20"/>
    </row>
    <row r="15" spans="1:24">
      <c r="A15" s="20">
        <v>327</v>
      </c>
      <c r="B15" s="21" t="s">
        <v>150</v>
      </c>
      <c r="C15" s="20"/>
      <c r="D15" s="20" t="s">
        <v>87</v>
      </c>
      <c r="E15" s="20" t="s">
        <v>88</v>
      </c>
      <c r="F15" s="20">
        <v>27</v>
      </c>
      <c r="G15" s="21" t="s">
        <v>151</v>
      </c>
      <c r="H15" s="21" t="s">
        <v>152</v>
      </c>
      <c r="I15" s="20" t="s">
        <v>153</v>
      </c>
      <c r="J15" s="20">
        <v>1</v>
      </c>
      <c r="K15" s="20">
        <v>1073</v>
      </c>
      <c r="L15" s="20">
        <v>1052</v>
      </c>
      <c r="M15" s="28">
        <v>1.6</v>
      </c>
      <c r="N15" s="20" t="s">
        <v>92</v>
      </c>
      <c r="O15" s="27">
        <v>46008</v>
      </c>
      <c r="P15" s="20" t="s">
        <v>93</v>
      </c>
      <c r="Q15" s="20" t="s">
        <v>99</v>
      </c>
      <c r="R15" s="20"/>
      <c r="S15" s="21" t="s">
        <v>154</v>
      </c>
      <c r="T15" s="28"/>
      <c r="U15" s="21"/>
      <c r="V15" s="20"/>
      <c r="W15" s="20"/>
      <c r="X15" s="20"/>
    </row>
    <row r="16" spans="1:24">
      <c r="A16" s="20">
        <v>328</v>
      </c>
      <c r="B16" s="21" t="s">
        <v>155</v>
      </c>
      <c r="C16" s="21" t="s">
        <v>156</v>
      </c>
      <c r="D16" s="21" t="s">
        <v>118</v>
      </c>
      <c r="E16" s="21" t="s">
        <v>88</v>
      </c>
      <c r="F16" s="20">
        <v>2</v>
      </c>
      <c r="G16" s="21" t="s">
        <v>57</v>
      </c>
      <c r="H16" s="21" t="s">
        <v>157</v>
      </c>
      <c r="I16" s="21" t="s">
        <v>158</v>
      </c>
      <c r="J16" s="20">
        <v>2</v>
      </c>
      <c r="K16" s="20">
        <v>64</v>
      </c>
      <c r="L16" s="20">
        <v>60</v>
      </c>
      <c r="M16" s="28">
        <v>0.26</v>
      </c>
      <c r="N16" s="20" t="s">
        <v>92</v>
      </c>
      <c r="O16" s="27">
        <v>46008</v>
      </c>
      <c r="P16" s="20" t="s">
        <v>93</v>
      </c>
      <c r="Q16" s="20" t="s">
        <v>99</v>
      </c>
      <c r="R16" s="20"/>
      <c r="S16" s="21" t="s">
        <v>113</v>
      </c>
      <c r="T16" s="28"/>
      <c r="U16" s="21"/>
      <c r="V16" s="20"/>
      <c r="W16" s="20"/>
      <c r="X16" s="20"/>
    </row>
    <row r="17" ht="17.6" spans="1:24">
      <c r="A17" s="20">
        <v>334</v>
      </c>
      <c r="B17" s="21" t="s">
        <v>159</v>
      </c>
      <c r="C17" s="21" t="s">
        <v>160</v>
      </c>
      <c r="D17" s="21" t="s">
        <v>140</v>
      </c>
      <c r="E17" s="20" t="s">
        <v>88</v>
      </c>
      <c r="F17" s="20">
        <v>110</v>
      </c>
      <c r="G17" s="21" t="s">
        <v>58</v>
      </c>
      <c r="H17" s="24" t="s">
        <v>161</v>
      </c>
      <c r="I17" s="21" t="s">
        <v>162</v>
      </c>
      <c r="J17" s="20">
        <v>2</v>
      </c>
      <c r="K17" s="20">
        <v>500</v>
      </c>
      <c r="L17" s="20">
        <v>490</v>
      </c>
      <c r="M17" s="28">
        <v>2.048</v>
      </c>
      <c r="N17" s="21" t="s">
        <v>163</v>
      </c>
      <c r="O17" s="27">
        <v>46008</v>
      </c>
      <c r="P17" s="21" t="s">
        <v>93</v>
      </c>
      <c r="Q17" s="21" t="s">
        <v>99</v>
      </c>
      <c r="R17" s="21" t="s">
        <v>100</v>
      </c>
      <c r="S17" s="20" t="s">
        <v>164</v>
      </c>
      <c r="T17" s="28"/>
      <c r="U17" s="21"/>
      <c r="V17" s="20"/>
      <c r="W17" s="20"/>
      <c r="X17" s="20"/>
    </row>
    <row r="18" spans="1:19">
      <c r="A18" s="22"/>
      <c r="B18" s="22" t="s">
        <v>165</v>
      </c>
      <c r="C18" s="23" t="s">
        <v>166</v>
      </c>
      <c r="D18" s="23"/>
      <c r="E18" s="23"/>
      <c r="F18" s="23"/>
      <c r="G18" s="23"/>
      <c r="H18" s="23"/>
      <c r="I18" s="23"/>
      <c r="J18" s="23"/>
      <c r="K18" s="23"/>
      <c r="L18" s="23"/>
      <c r="M18" s="23"/>
      <c r="N18" s="23"/>
      <c r="O18" s="23"/>
      <c r="P18" s="23"/>
      <c r="Q18" s="23"/>
      <c r="R18" s="23"/>
      <c r="S18" s="23"/>
    </row>
  </sheetData>
  <autoFilter ref="A1:T18"/>
  <mergeCells count="1">
    <mergeCell ref="C18:S18"/>
  </mergeCells>
  <conditionalFormatting sqref="Q5">
    <cfRule type="cellIs" dxfId="0" priority="1" operator="equal">
      <formula>"其他厂家报关"</formula>
    </cfRule>
    <cfRule type="cellIs" dxfId="1" priority="2" operator="equal">
      <formula>"埋单"</formula>
    </cfRule>
  </conditionalFormatting>
  <conditionalFormatting sqref="E1:E17">
    <cfRule type="cellIs" dxfId="2" priority="5" operator="equal">
      <formula>"洛杉矶"</formula>
    </cfRule>
  </conditionalFormatting>
  <conditionalFormatting sqref="Q1:Q4 Q6:Q17">
    <cfRule type="cellIs" dxfId="3" priority="3" operator="equal">
      <formula>"其他厂家报关"</formula>
    </cfRule>
    <cfRule type="cellIs" dxfId="4" priority="4" operator="equal">
      <formula>"埋单"</formula>
    </cfRule>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O27"/>
  <sheetViews>
    <sheetView zoomScale="115" zoomScaleNormal="115" workbookViewId="0">
      <selection activeCell="C36" sqref="C36"/>
    </sheetView>
  </sheetViews>
  <sheetFormatPr defaultColWidth="8.70967741935484" defaultRowHeight="16.8"/>
  <cols>
    <col min="2" max="2" width="24.4354838709677" customWidth="1"/>
    <col min="5" max="5" width="16.4354838709677" customWidth="1"/>
    <col min="6" max="6" width="18.8951612903226" style="1" customWidth="1"/>
    <col min="7" max="7" width="6.09677419354839" customWidth="1"/>
    <col min="8" max="8" width="15.4354838709677" style="1" customWidth="1"/>
    <col min="9" max="9" width="18.8951612903226" customWidth="1"/>
    <col min="10" max="10" width="24.2258064516129" customWidth="1"/>
    <col min="11" max="11" width="23.0967741935484" style="2" customWidth="1"/>
    <col min="12" max="12" width="11.8951612903226" customWidth="1"/>
    <col min="13" max="13" width="27.6612903225806" style="2" customWidth="1"/>
  </cols>
  <sheetData>
    <row r="1" ht="18" spans="1:15">
      <c r="A1" s="3" t="s">
        <v>78</v>
      </c>
      <c r="B1" s="3" t="s">
        <v>167</v>
      </c>
      <c r="C1" s="3" t="s">
        <v>53</v>
      </c>
      <c r="D1" s="3" t="s">
        <v>52</v>
      </c>
      <c r="E1" s="3" t="s">
        <v>168</v>
      </c>
      <c r="F1" s="8" t="s">
        <v>169</v>
      </c>
      <c r="G1" s="9" t="s">
        <v>170</v>
      </c>
      <c r="H1" s="10" t="s">
        <v>171</v>
      </c>
      <c r="I1" s="9" t="s">
        <v>172</v>
      </c>
      <c r="J1" t="s">
        <v>173</v>
      </c>
      <c r="K1" s="2" t="s">
        <v>174</v>
      </c>
      <c r="L1" t="s">
        <v>175</v>
      </c>
      <c r="M1" s="2" t="s">
        <v>176</v>
      </c>
      <c r="O1" s="2" t="s">
        <v>177</v>
      </c>
    </row>
    <row r="2" ht="18" spans="1:15">
      <c r="A2" s="3">
        <v>1</v>
      </c>
      <c r="B2" s="3" t="s">
        <v>178</v>
      </c>
      <c r="C2" s="4" t="s">
        <v>179</v>
      </c>
      <c r="D2" s="4">
        <v>395</v>
      </c>
      <c r="E2" s="11">
        <v>85.239</v>
      </c>
      <c r="F2" s="12">
        <f t="shared" ref="F2:F11" si="0">E2*D2</f>
        <v>33669.405</v>
      </c>
      <c r="G2" s="13">
        <v>0.03</v>
      </c>
      <c r="H2" s="14">
        <f t="shared" ref="H2:H24" si="1">F2*G2</f>
        <v>1010.08215</v>
      </c>
      <c r="I2" s="15">
        <f t="shared" ref="I2:I10" si="2">F2+H2</f>
        <v>34679.48715</v>
      </c>
      <c r="J2" t="str">
        <f>O$1&amp;TEXT(A2,"000")</f>
        <v>530420240040849246001</v>
      </c>
      <c r="K2" s="17" t="s">
        <v>180</v>
      </c>
      <c r="L2" s="2" t="s">
        <v>181</v>
      </c>
      <c r="M2" s="18" t="s">
        <v>182</v>
      </c>
      <c r="O2" t="s">
        <v>183</v>
      </c>
    </row>
    <row r="3" ht="18" spans="1:13">
      <c r="A3" s="3">
        <v>2</v>
      </c>
      <c r="B3" s="3" t="s">
        <v>178</v>
      </c>
      <c r="C3" s="4" t="s">
        <v>179</v>
      </c>
      <c r="D3" s="4">
        <v>250</v>
      </c>
      <c r="E3" s="11">
        <v>85.239</v>
      </c>
      <c r="F3" s="12">
        <f t="shared" si="0"/>
        <v>21309.75</v>
      </c>
      <c r="G3" s="13">
        <v>0.03</v>
      </c>
      <c r="H3" s="14">
        <f t="shared" si="1"/>
        <v>639.2925</v>
      </c>
      <c r="I3" s="15">
        <f t="shared" si="2"/>
        <v>21949.0425</v>
      </c>
      <c r="J3" t="str">
        <f t="shared" ref="J3:J24" si="3">O$1&amp;TEXT(A3,"000")</f>
        <v>530420240040849246002</v>
      </c>
      <c r="K3" s="17" t="s">
        <v>184</v>
      </c>
      <c r="L3" s="2" t="s">
        <v>181</v>
      </c>
      <c r="M3" s="18" t="s">
        <v>182</v>
      </c>
    </row>
    <row r="4" ht="18" spans="1:14">
      <c r="A4" s="3">
        <v>3</v>
      </c>
      <c r="B4" s="3" t="s">
        <v>178</v>
      </c>
      <c r="C4" s="4" t="s">
        <v>179</v>
      </c>
      <c r="D4" s="4">
        <v>120</v>
      </c>
      <c r="E4" s="11">
        <v>85.239</v>
      </c>
      <c r="F4" s="12">
        <f t="shared" si="0"/>
        <v>10228.68</v>
      </c>
      <c r="G4" s="13">
        <v>0.03</v>
      </c>
      <c r="H4" s="14">
        <f t="shared" si="1"/>
        <v>306.8604</v>
      </c>
      <c r="I4" s="15">
        <f t="shared" si="2"/>
        <v>10535.5404</v>
      </c>
      <c r="J4" t="str">
        <f>O$1&amp;TEXT(A4,"000")</f>
        <v>530420240040849246003</v>
      </c>
      <c r="K4" s="17" t="s">
        <v>185</v>
      </c>
      <c r="L4" s="2" t="s">
        <v>181</v>
      </c>
      <c r="M4" s="18" t="s">
        <v>182</v>
      </c>
      <c r="N4" t="str">
        <f>IF(A4=1,_xlfn.CONCAT(O3,"001"),IF(A4=2,_xlfn.CONCAT(O3,"002"),IF(A4=11,_xlfn.CONCAT(O3,"011"),"")))</f>
        <v/>
      </c>
    </row>
    <row r="5" ht="18" spans="1:14">
      <c r="A5" s="3">
        <v>4</v>
      </c>
      <c r="B5" s="3" t="s">
        <v>178</v>
      </c>
      <c r="C5" s="4" t="s">
        <v>179</v>
      </c>
      <c r="D5" s="4">
        <v>81</v>
      </c>
      <c r="E5" s="11">
        <v>85.239</v>
      </c>
      <c r="F5" s="12">
        <f t="shared" si="0"/>
        <v>6904.359</v>
      </c>
      <c r="G5" s="13">
        <v>0.03</v>
      </c>
      <c r="H5" s="14">
        <f t="shared" si="1"/>
        <v>207.13077</v>
      </c>
      <c r="I5" s="15">
        <f t="shared" si="2"/>
        <v>7111.48977</v>
      </c>
      <c r="J5" t="str">
        <f t="shared" si="3"/>
        <v>530420240040849246004</v>
      </c>
      <c r="K5" s="17" t="s">
        <v>186</v>
      </c>
      <c r="L5" s="2" t="s">
        <v>181</v>
      </c>
      <c r="M5" s="18" t="s">
        <v>182</v>
      </c>
      <c r="N5" t="str">
        <f>IF(A5=1,_xlfn.CONCAT(O4,"001"),IF(A5=2,_xlfn.CONCAT(O4,"002"),IF(A5=11,_xlfn.CONCAT(O4,"011"),"")))</f>
        <v/>
      </c>
    </row>
    <row r="6" ht="18" spans="1:14">
      <c r="A6" s="3">
        <v>5</v>
      </c>
      <c r="B6" s="3" t="s">
        <v>178</v>
      </c>
      <c r="C6" s="4" t="s">
        <v>179</v>
      </c>
      <c r="D6" s="4">
        <v>969</v>
      </c>
      <c r="E6" s="11">
        <v>85.239</v>
      </c>
      <c r="F6" s="12">
        <f t="shared" si="0"/>
        <v>82596.591</v>
      </c>
      <c r="G6" s="13">
        <v>0.03</v>
      </c>
      <c r="H6" s="14">
        <f t="shared" si="1"/>
        <v>2477.89773</v>
      </c>
      <c r="I6" s="15">
        <f t="shared" si="2"/>
        <v>85074.48873</v>
      </c>
      <c r="J6" t="str">
        <f t="shared" si="3"/>
        <v>530420240040849246005</v>
      </c>
      <c r="K6" s="17" t="s">
        <v>187</v>
      </c>
      <c r="L6" s="2" t="s">
        <v>181</v>
      </c>
      <c r="M6" s="18" t="s">
        <v>182</v>
      </c>
      <c r="N6" t="str">
        <f>IF(A6=1,_xlfn.CONCAT(O5,"001"),IF(A6=2,_xlfn.CONCAT(O5,"002"),IF(A6=11,_xlfn.CONCAT(O5,"011"),"")))</f>
        <v/>
      </c>
    </row>
    <row r="7" ht="18" spans="1:13">
      <c r="A7" s="3">
        <v>6</v>
      </c>
      <c r="B7" s="3" t="s">
        <v>188</v>
      </c>
      <c r="C7" s="4" t="s">
        <v>179</v>
      </c>
      <c r="D7" s="4">
        <v>142</v>
      </c>
      <c r="E7" s="11">
        <v>37.742</v>
      </c>
      <c r="F7" s="12">
        <f t="shared" si="0"/>
        <v>5359.364</v>
      </c>
      <c r="G7" s="13">
        <v>0.03</v>
      </c>
      <c r="H7" s="14">
        <f t="shared" si="1"/>
        <v>160.78092</v>
      </c>
      <c r="I7" s="15">
        <f t="shared" si="2"/>
        <v>5520.14492</v>
      </c>
      <c r="J7" t="str">
        <f t="shared" si="3"/>
        <v>530420240040849246006</v>
      </c>
      <c r="K7" s="17" t="s">
        <v>189</v>
      </c>
      <c r="L7" s="2" t="s">
        <v>181</v>
      </c>
      <c r="M7" s="18" t="s">
        <v>182</v>
      </c>
    </row>
    <row r="8" ht="18" spans="1:13">
      <c r="A8" s="3">
        <v>7</v>
      </c>
      <c r="B8" s="3" t="s">
        <v>188</v>
      </c>
      <c r="C8" s="4" t="s">
        <v>179</v>
      </c>
      <c r="D8" s="4">
        <v>647</v>
      </c>
      <c r="E8" s="11">
        <v>37.742</v>
      </c>
      <c r="F8" s="12">
        <f t="shared" si="0"/>
        <v>24419.074</v>
      </c>
      <c r="G8" s="13">
        <v>0.03</v>
      </c>
      <c r="H8" s="14">
        <f t="shared" si="1"/>
        <v>732.57222</v>
      </c>
      <c r="I8" s="15">
        <f t="shared" si="2"/>
        <v>25151.64622</v>
      </c>
      <c r="J8" t="str">
        <f t="shared" si="3"/>
        <v>530420240040849246007</v>
      </c>
      <c r="K8" s="17" t="s">
        <v>190</v>
      </c>
      <c r="L8" s="2" t="s">
        <v>181</v>
      </c>
      <c r="M8" s="18" t="s">
        <v>182</v>
      </c>
    </row>
    <row r="9" ht="15" customHeight="1" spans="1:13">
      <c r="A9" s="3">
        <v>8</v>
      </c>
      <c r="B9" s="3" t="s">
        <v>188</v>
      </c>
      <c r="C9" s="4" t="s">
        <v>179</v>
      </c>
      <c r="D9" s="4">
        <v>75</v>
      </c>
      <c r="E9" s="11">
        <v>37.742</v>
      </c>
      <c r="F9" s="12">
        <f t="shared" si="0"/>
        <v>2830.65</v>
      </c>
      <c r="G9" s="13">
        <v>0.03</v>
      </c>
      <c r="H9" s="14">
        <f t="shared" si="1"/>
        <v>84.9195</v>
      </c>
      <c r="I9" s="15">
        <f t="shared" si="2"/>
        <v>2915.5695</v>
      </c>
      <c r="J9" t="str">
        <f t="shared" si="3"/>
        <v>530420240040849246008</v>
      </c>
      <c r="K9" s="17" t="s">
        <v>191</v>
      </c>
      <c r="L9" s="2" t="s">
        <v>181</v>
      </c>
      <c r="M9" s="18" t="s">
        <v>182</v>
      </c>
    </row>
    <row r="10" ht="15" customHeight="1" spans="1:13">
      <c r="A10" s="3">
        <v>9</v>
      </c>
      <c r="B10" s="3" t="s">
        <v>188</v>
      </c>
      <c r="C10" s="4" t="s">
        <v>179</v>
      </c>
      <c r="D10" s="4">
        <v>433</v>
      </c>
      <c r="E10" s="11">
        <v>37.742</v>
      </c>
      <c r="F10" s="12">
        <f t="shared" si="0"/>
        <v>16342.286</v>
      </c>
      <c r="G10" s="13">
        <v>0.03</v>
      </c>
      <c r="H10" s="14">
        <f t="shared" si="1"/>
        <v>490.26858</v>
      </c>
      <c r="I10" s="15">
        <f t="shared" si="2"/>
        <v>16832.55458</v>
      </c>
      <c r="J10" t="str">
        <f t="shared" si="3"/>
        <v>530420240040849246009</v>
      </c>
      <c r="K10" s="17" t="s">
        <v>192</v>
      </c>
      <c r="L10" s="2" t="s">
        <v>181</v>
      </c>
      <c r="M10" s="18" t="s">
        <v>182</v>
      </c>
    </row>
    <row r="11" ht="15" customHeight="1" spans="1:13">
      <c r="A11" s="3">
        <v>10</v>
      </c>
      <c r="B11" s="3" t="s">
        <v>193</v>
      </c>
      <c r="C11" s="4" t="s">
        <v>179</v>
      </c>
      <c r="D11" s="4">
        <v>88</v>
      </c>
      <c r="E11" s="11">
        <v>102.912</v>
      </c>
      <c r="F11" s="12">
        <f t="shared" si="0"/>
        <v>9056.256</v>
      </c>
      <c r="G11" s="13">
        <v>0.03</v>
      </c>
      <c r="H11" s="14">
        <f t="shared" si="1"/>
        <v>271.68768</v>
      </c>
      <c r="I11" s="15">
        <f>ROUNDUP(F11+H11,0)</f>
        <v>9328</v>
      </c>
      <c r="J11" t="str">
        <f t="shared" si="3"/>
        <v>530420240040849246010</v>
      </c>
      <c r="K11" s="17" t="s">
        <v>194</v>
      </c>
      <c r="L11" s="2" t="s">
        <v>181</v>
      </c>
      <c r="M11" s="18" t="s">
        <v>182</v>
      </c>
    </row>
    <row r="12" ht="17.6" spans="1:12">
      <c r="A12" s="3" t="s">
        <v>195</v>
      </c>
      <c r="B12" s="3"/>
      <c r="C12" s="4"/>
      <c r="D12" s="4"/>
      <c r="E12" s="15"/>
      <c r="F12" s="12">
        <f>SUM(F2:F11)</f>
        <v>212716.415</v>
      </c>
      <c r="G12" s="13">
        <v>0.03</v>
      </c>
      <c r="H12" s="14">
        <f t="shared" si="1"/>
        <v>6381.49245</v>
      </c>
      <c r="I12" s="15">
        <f t="shared" ref="I12:I24" si="4">F12+H12</f>
        <v>219097.90745</v>
      </c>
      <c r="L12" s="2"/>
    </row>
    <row r="13" ht="18" spans="1:13">
      <c r="A13" s="5">
        <v>11</v>
      </c>
      <c r="B13" s="3" t="s">
        <v>196</v>
      </c>
      <c r="C13" s="4" t="s">
        <v>97</v>
      </c>
      <c r="D13" s="4">
        <v>40</v>
      </c>
      <c r="E13" s="15">
        <v>146.017699115044</v>
      </c>
      <c r="F13" s="12">
        <f t="shared" ref="F13:F19" si="5">E13*D13</f>
        <v>5840.70796460176</v>
      </c>
      <c r="G13" s="13">
        <v>0.13</v>
      </c>
      <c r="H13" s="14">
        <f t="shared" si="1"/>
        <v>759.292035398229</v>
      </c>
      <c r="I13" s="15">
        <f t="shared" si="4"/>
        <v>6599.99999999999</v>
      </c>
      <c r="J13" t="str">
        <f t="shared" si="3"/>
        <v>530420240040849246011</v>
      </c>
      <c r="K13" s="2" t="s">
        <v>197</v>
      </c>
      <c r="L13" s="2" t="s">
        <v>198</v>
      </c>
      <c r="M13" s="18" t="s">
        <v>199</v>
      </c>
    </row>
    <row r="14" ht="18" spans="1:13">
      <c r="A14" s="5">
        <v>12</v>
      </c>
      <c r="B14" s="3" t="s">
        <v>196</v>
      </c>
      <c r="C14" s="4" t="s">
        <v>97</v>
      </c>
      <c r="D14" s="4">
        <v>40</v>
      </c>
      <c r="E14" s="15">
        <v>146.017699115044</v>
      </c>
      <c r="F14" s="12">
        <f t="shared" si="5"/>
        <v>5840.70796460176</v>
      </c>
      <c r="G14" s="13">
        <v>0.13</v>
      </c>
      <c r="H14" s="14">
        <f t="shared" si="1"/>
        <v>759.292035398229</v>
      </c>
      <c r="I14" s="15">
        <f t="shared" si="4"/>
        <v>6599.99999999999</v>
      </c>
      <c r="J14" t="str">
        <f t="shared" si="3"/>
        <v>530420240040849246012</v>
      </c>
      <c r="K14" s="2" t="s">
        <v>200</v>
      </c>
      <c r="L14" s="2" t="s">
        <v>198</v>
      </c>
      <c r="M14" s="18" t="s">
        <v>199</v>
      </c>
    </row>
    <row r="15" ht="18" spans="1:13">
      <c r="A15" s="5">
        <v>13</v>
      </c>
      <c r="B15" s="3" t="s">
        <v>196</v>
      </c>
      <c r="C15" s="4" t="s">
        <v>97</v>
      </c>
      <c r="D15" s="4">
        <v>20</v>
      </c>
      <c r="E15" s="15">
        <v>146.017699115044</v>
      </c>
      <c r="F15" s="12">
        <f t="shared" si="5"/>
        <v>2920.35398230088</v>
      </c>
      <c r="G15" s="13">
        <v>0.13</v>
      </c>
      <c r="H15" s="14">
        <f t="shared" si="1"/>
        <v>379.646017699114</v>
      </c>
      <c r="I15" s="15">
        <f t="shared" si="4"/>
        <v>3299.99999999999</v>
      </c>
      <c r="J15" t="str">
        <f t="shared" si="3"/>
        <v>530420240040849246013</v>
      </c>
      <c r="K15" s="2" t="s">
        <v>201</v>
      </c>
      <c r="L15" s="2" t="s">
        <v>198</v>
      </c>
      <c r="M15" s="18" t="s">
        <v>199</v>
      </c>
    </row>
    <row r="16" ht="18" spans="1:13">
      <c r="A16" s="5">
        <v>14</v>
      </c>
      <c r="B16" s="3" t="s">
        <v>202</v>
      </c>
      <c r="C16" s="4" t="s">
        <v>97</v>
      </c>
      <c r="D16" s="4">
        <v>50</v>
      </c>
      <c r="E16" s="15">
        <v>885.840707964602</v>
      </c>
      <c r="F16" s="12">
        <f t="shared" si="5"/>
        <v>44292.0353982301</v>
      </c>
      <c r="G16" s="13">
        <v>0.13</v>
      </c>
      <c r="H16" s="14">
        <f t="shared" si="1"/>
        <v>5757.96460176991</v>
      </c>
      <c r="I16" s="15">
        <f t="shared" si="4"/>
        <v>50050</v>
      </c>
      <c r="J16" t="str">
        <f t="shared" si="3"/>
        <v>530420240040849246014</v>
      </c>
      <c r="K16" s="2" t="s">
        <v>203</v>
      </c>
      <c r="L16" s="2" t="s">
        <v>198</v>
      </c>
      <c r="M16" s="18" t="s">
        <v>199</v>
      </c>
    </row>
    <row r="17" ht="18" spans="1:13">
      <c r="A17" s="5">
        <v>15</v>
      </c>
      <c r="B17" s="3" t="s">
        <v>204</v>
      </c>
      <c r="C17" s="4" t="s">
        <v>97</v>
      </c>
      <c r="D17" s="4">
        <v>70</v>
      </c>
      <c r="E17" s="15">
        <v>68.141592920354</v>
      </c>
      <c r="F17" s="12">
        <f t="shared" si="5"/>
        <v>4769.91150442478</v>
      </c>
      <c r="G17" s="13">
        <v>0.13</v>
      </c>
      <c r="H17" s="14">
        <f t="shared" si="1"/>
        <v>620.088495575221</v>
      </c>
      <c r="I17" s="15">
        <f t="shared" si="4"/>
        <v>5390</v>
      </c>
      <c r="J17" t="str">
        <f t="shared" si="3"/>
        <v>530420240040849246015</v>
      </c>
      <c r="K17" s="2" t="s">
        <v>205</v>
      </c>
      <c r="L17" s="2" t="s">
        <v>198</v>
      </c>
      <c r="M17" s="18" t="s">
        <v>199</v>
      </c>
    </row>
    <row r="18" ht="18" spans="1:13">
      <c r="A18" s="5">
        <v>16</v>
      </c>
      <c r="B18" s="6" t="s">
        <v>206</v>
      </c>
      <c r="C18" s="4" t="s">
        <v>97</v>
      </c>
      <c r="D18" s="4">
        <v>20</v>
      </c>
      <c r="E18" s="15">
        <v>116.814159292035</v>
      </c>
      <c r="F18" s="12">
        <f t="shared" si="5"/>
        <v>2336.2831858407</v>
      </c>
      <c r="G18" s="13">
        <v>0.13</v>
      </c>
      <c r="H18" s="14">
        <f t="shared" si="1"/>
        <v>303.716814159291</v>
      </c>
      <c r="I18" s="15">
        <f t="shared" si="4"/>
        <v>2639.99999999999</v>
      </c>
      <c r="J18" t="str">
        <f t="shared" si="3"/>
        <v>530420240040849246016</v>
      </c>
      <c r="K18" s="2" t="s">
        <v>207</v>
      </c>
      <c r="L18" s="2" t="s">
        <v>198</v>
      </c>
      <c r="M18" s="18" t="s">
        <v>199</v>
      </c>
    </row>
    <row r="19" ht="18" spans="1:13">
      <c r="A19" s="5">
        <v>17</v>
      </c>
      <c r="B19" s="6" t="s">
        <v>208</v>
      </c>
      <c r="C19" s="4" t="s">
        <v>97</v>
      </c>
      <c r="D19" s="4">
        <v>100</v>
      </c>
      <c r="E19" s="15">
        <f>16.5/(1+G19)</f>
        <v>14.6017699115044</v>
      </c>
      <c r="F19" s="12">
        <f t="shared" si="5"/>
        <v>1460.17699115044</v>
      </c>
      <c r="G19" s="13">
        <v>0.13</v>
      </c>
      <c r="H19" s="14">
        <f t="shared" si="1"/>
        <v>189.823008849558</v>
      </c>
      <c r="I19" s="15">
        <f t="shared" si="4"/>
        <v>1650</v>
      </c>
      <c r="J19" t="str">
        <f t="shared" si="3"/>
        <v>530420240040849246017</v>
      </c>
      <c r="K19" s="2" t="s">
        <v>209</v>
      </c>
      <c r="L19" s="2" t="s">
        <v>198</v>
      </c>
      <c r="M19" s="18" t="s">
        <v>199</v>
      </c>
    </row>
    <row r="20" ht="17.6" spans="1:12">
      <c r="A20" s="3" t="s">
        <v>195</v>
      </c>
      <c r="B20" s="3"/>
      <c r="C20" s="4"/>
      <c r="D20" s="4"/>
      <c r="E20" s="15"/>
      <c r="F20" s="12">
        <f>SUM(F13:F19)</f>
        <v>67460.1769911504</v>
      </c>
      <c r="G20" s="13">
        <v>0.13</v>
      </c>
      <c r="H20" s="14">
        <f t="shared" si="1"/>
        <v>8769.82300884955</v>
      </c>
      <c r="I20" s="15">
        <f t="shared" si="4"/>
        <v>76230</v>
      </c>
      <c r="L20" s="2"/>
    </row>
    <row r="21" ht="18" spans="1:13">
      <c r="A21" s="3">
        <v>18</v>
      </c>
      <c r="B21" s="3" t="s">
        <v>210</v>
      </c>
      <c r="C21" s="3" t="s">
        <v>58</v>
      </c>
      <c r="D21" s="3">
        <v>234.24</v>
      </c>
      <c r="E21" s="3">
        <v>70.349</v>
      </c>
      <c r="F21" s="16">
        <f>E21*D21</f>
        <v>16478.54976</v>
      </c>
      <c r="G21" s="13">
        <v>0.13</v>
      </c>
      <c r="H21" s="14">
        <f t="shared" si="1"/>
        <v>2142.2114688</v>
      </c>
      <c r="I21" s="15">
        <f t="shared" si="4"/>
        <v>18620.7612288</v>
      </c>
      <c r="J21" t="str">
        <f t="shared" si="3"/>
        <v>530420240040849246018</v>
      </c>
      <c r="K21" s="2" t="s">
        <v>211</v>
      </c>
      <c r="L21" s="2" t="s">
        <v>212</v>
      </c>
      <c r="M21" s="18" t="s">
        <v>213</v>
      </c>
    </row>
    <row r="22" ht="18" spans="1:13">
      <c r="A22" s="3">
        <v>19</v>
      </c>
      <c r="B22" s="3" t="s">
        <v>210</v>
      </c>
      <c r="C22" s="3" t="s">
        <v>58</v>
      </c>
      <c r="D22" s="3">
        <v>2.88</v>
      </c>
      <c r="E22" s="3">
        <v>76.48</v>
      </c>
      <c r="F22" s="8">
        <f>E22*D22</f>
        <v>220.2624</v>
      </c>
      <c r="G22" s="13">
        <v>0.13</v>
      </c>
      <c r="H22" s="14">
        <f t="shared" si="1"/>
        <v>28.634112</v>
      </c>
      <c r="I22" s="15">
        <f t="shared" si="4"/>
        <v>248.896512</v>
      </c>
      <c r="J22" t="str">
        <f t="shared" si="3"/>
        <v>530420240040849246019</v>
      </c>
      <c r="K22" s="2" t="s">
        <v>214</v>
      </c>
      <c r="L22" s="2" t="s">
        <v>212</v>
      </c>
      <c r="M22" s="18" t="s">
        <v>213</v>
      </c>
    </row>
    <row r="23" ht="17.6" spans="1:9">
      <c r="A23" s="3" t="s">
        <v>195</v>
      </c>
      <c r="B23" s="3"/>
      <c r="C23" s="4"/>
      <c r="D23" s="4"/>
      <c r="E23" s="15"/>
      <c r="F23" s="14">
        <f>SUM(F21:F22)</f>
        <v>16698.81216</v>
      </c>
      <c r="G23" s="13">
        <v>0.13</v>
      </c>
      <c r="H23" s="14">
        <f t="shared" si="1"/>
        <v>2170.8455808</v>
      </c>
      <c r="I23" s="15">
        <f t="shared" si="4"/>
        <v>18869.6577408</v>
      </c>
    </row>
    <row r="24" ht="17.6" spans="1:9">
      <c r="A24" s="7" t="s">
        <v>215</v>
      </c>
      <c r="F24" s="14">
        <f>F12+F23+F20</f>
        <v>296875.40415115</v>
      </c>
      <c r="G24" s="13">
        <v>0.13</v>
      </c>
      <c r="H24" s="14">
        <f>H12+H20+H23</f>
        <v>17322.1610396496</v>
      </c>
      <c r="I24" s="15">
        <f t="shared" si="4"/>
        <v>314197.5651908</v>
      </c>
    </row>
    <row r="27" spans="9:9">
      <c r="I27">
        <f>I24-308606.77</f>
        <v>5590.79519079992</v>
      </c>
    </row>
  </sheetData>
  <mergeCells count="4">
    <mergeCell ref="A12:B12"/>
    <mergeCell ref="A20:B20"/>
    <mergeCell ref="A23:B23"/>
    <mergeCell ref="A24:B24"/>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���V��ech/wc�m/1-Ǒ-�nUS/3u�b�� }�vU_
</file>

<file path=customXml/itemProps1.xml><?xml version="1.0" encoding="utf-8"?>
<ds:datastoreItem xmlns:ds="http://schemas.openxmlformats.org/officeDocument/2006/customXml" ds:itemID="{8CA11897-456E-43AF-AC28-93E1BBEC0A59}">
  <ds:schemaRefs/>
</ds:datastoreItem>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6</vt:i4>
      </vt:variant>
    </vt:vector>
  </HeadingPairs>
  <TitlesOfParts>
    <vt:vector size="6" baseType="lpstr">
      <vt:lpstr>    合 同    </vt:lpstr>
      <vt:lpstr>发   票</vt:lpstr>
      <vt:lpstr>箱   单 </vt:lpstr>
      <vt:lpstr>装箱清单</vt:lpstr>
      <vt:lpstr>装货</vt:lpstr>
      <vt:lpstr>发票汇总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dc:creator>
  <cp:lastModifiedBy>iPhone</cp:lastModifiedBy>
  <dcterms:created xsi:type="dcterms:W3CDTF">2019-05-09T04:31:00Z</dcterms:created>
  <dcterms:modified xsi:type="dcterms:W3CDTF">2026-07-03T00:09:51Z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ReadingLayout">
    <vt:bool>true</vt:bool>
  </property>
  <property fmtid="{D5CDD505-2E9C-101B-9397-08002B2CF9AE}" pid="3" name="ICV">
    <vt:lpwstr>FA2F6ED09CAA469F2B7C466A3BD98EE6_43</vt:lpwstr>
  </property>
  <property fmtid="{D5CDD505-2E9C-101B-9397-08002B2CF9AE}" pid="4" name="KSOProductBuildVer">
    <vt:lpwstr>2052-26.6.2</vt:lpwstr>
  </property>
</Properties>
</file>